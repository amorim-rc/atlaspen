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DA5" lockStructure="1"/>
  <bookViews>
    <workbookView visibility="visible" minimized="0" showHorizontalScroll="1" showVerticalScroll="1" showSheetTabs="1" tabRatio="600" firstSheet="0" activeTab="0" autoFilterDateGrouping="1"/>
  </bookViews>
  <sheets>
    <sheet name="Leia-me" sheetId="1" state="visible" r:id="rId1"/>
    <sheet name="Revisor A" sheetId="2" state="visible" r:id="rId2"/>
    <sheet name="Revisor B" sheetId="3" state="visible" r:id="rId3"/>
    <sheet name="Apuração A" sheetId="4" state="visible" r:id="rId4"/>
    <sheet name="Apuração B" sheetId="5" state="visible" r:id="rId5"/>
    <sheet name="Resumo" sheetId="6" state="visible" r:id="rId6"/>
    <sheet name="Gabarito" sheetId="7" state="hidden"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font>
      <b val="1"/>
      <color rgb="00FFFFFF"/>
    </font>
    <font>
      <color rgb="001F3A5F"/>
      <u val="single"/>
    </font>
  </fonts>
  <fills count="4">
    <fill>
      <patternFill/>
    </fill>
    <fill>
      <patternFill patternType="gray125"/>
    </fill>
    <fill>
      <patternFill patternType="solid">
        <fgColor rgb="001F3A5F"/>
      </patternFill>
    </fill>
    <fill>
      <patternFill patternType="solid">
        <fgColor rgb="00FDF2C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0" fillId="3" borderId="0" pivotButton="0" quotePrefix="0" xfId="0"/>
    <xf numFmtId="49" fontId="0" fillId="3" borderId="0" pivotButton="0" quotePrefix="0" xfId="0"/>
    <xf numFmtId="0" fontId="5" fillId="3" borderId="0" pivotButton="0" quotePrefix="0" xfId="0"/>
    <xf numFmtId="1" fontId="0" fillId="0" borderId="0" pivotButton="0" quotePrefix="0" xfId="0"/>
    <xf numFmtId="49" fontId="0" fillId="0" borderId="0" pivotButton="0" quotePrefix="0" xfId="0"/>
    <xf numFmtId="0" fontId="5" fillId="0" borderId="0" pivotButton="0" quotePrefix="0" xfId="0"/>
    <xf numFmtId="164" fontId="0" fillId="0" borderId="0" pivotButton="0" quotePrefix="0" xfId="0"/>
    <xf numFmtId="0" fontId="2" fillId="0" borderId="0" pivotButton="0" quotePrefix="0" xfId="0"/>
    <xf numFmtId="0" fontId="4" fillId="2" borderId="0" pivotButton="0" quotePrefix="0" xfId="0"/>
    <xf numFmtId="9"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lanalto.gov.br/ccivil_03/decreto-lei/del2848compilado.htm" TargetMode="External" Id="rId1" /><Relationship Type="http://schemas.openxmlformats.org/officeDocument/2006/relationships/hyperlink" Target="https://www.planalto.gov.br/ccivil_03/decreto-lei/del2848compilado.htm" TargetMode="External" Id="rId2" /><Relationship Type="http://schemas.openxmlformats.org/officeDocument/2006/relationships/hyperlink" Target="https://www.planalto.gov.br/ccivil_03/decreto-lei/del2848compilado.htm" TargetMode="External" Id="rId3" /><Relationship Type="http://schemas.openxmlformats.org/officeDocument/2006/relationships/hyperlink" Target="https://www.planalto.gov.br/ccivil_03/decreto-lei/del2848compilado.htm" TargetMode="External" Id="rId4" /><Relationship Type="http://schemas.openxmlformats.org/officeDocument/2006/relationships/hyperlink" Target="https://www.planalto.gov.br/ccivil_03/decreto-lei/del2848compilado.htm" TargetMode="External" Id="rId5" /><Relationship Type="http://schemas.openxmlformats.org/officeDocument/2006/relationships/hyperlink" Target="https://www.planalto.gov.br/ccivil_03/decreto-lei/del2848compilado.htm" TargetMode="External" Id="rId6" /><Relationship Type="http://schemas.openxmlformats.org/officeDocument/2006/relationships/hyperlink" Target="https://www.planalto.gov.br/ccivil_03/decreto-lei/del2848compilado.htm" TargetMode="External" Id="rId7" /><Relationship Type="http://schemas.openxmlformats.org/officeDocument/2006/relationships/hyperlink" Target="https://www.planalto.gov.br/ccivil_03/decreto-lei/del2848compilado.htm" TargetMode="External" Id="rId8" /><Relationship Type="http://schemas.openxmlformats.org/officeDocument/2006/relationships/hyperlink" Target="https://www.planalto.gov.br/ccivil_03/decreto-lei/del2848compilado.htm" TargetMode="External" Id="rId9" /><Relationship Type="http://schemas.openxmlformats.org/officeDocument/2006/relationships/hyperlink" Target="https://www.planalto.gov.br/ccivil_03/decreto-lei/del2848compilado.htm" TargetMode="External" Id="rId10" /><Relationship Type="http://schemas.openxmlformats.org/officeDocument/2006/relationships/hyperlink" Target="https://www.planalto.gov.br/ccivil_03/decreto-lei/del2848compilado.htm" TargetMode="External" Id="rId11" /><Relationship Type="http://schemas.openxmlformats.org/officeDocument/2006/relationships/hyperlink" Target="https://www.planalto.gov.br/ccivil_03/decreto-lei/del2848compilado.htm" TargetMode="External" Id="rId12" /><Relationship Type="http://schemas.openxmlformats.org/officeDocument/2006/relationships/hyperlink" Target="https://www.planalto.gov.br/ccivil_03/decreto-lei/del2848compilado.htm" TargetMode="External" Id="rId13" /><Relationship Type="http://schemas.openxmlformats.org/officeDocument/2006/relationships/hyperlink" Target="https://www.planalto.gov.br/ccivil_03/decreto-lei/del2848compilado.htm" TargetMode="External" Id="rId14" /><Relationship Type="http://schemas.openxmlformats.org/officeDocument/2006/relationships/hyperlink" Target="https://www.planalto.gov.br/ccivil_03/decreto-lei/del2848compilado.htm" TargetMode="External" Id="rId15" /><Relationship Type="http://schemas.openxmlformats.org/officeDocument/2006/relationships/hyperlink" Target="https://www.planalto.gov.br/ccivil_03/decreto-lei/del2848compilado.htm" TargetMode="External" Id="rId16" /><Relationship Type="http://schemas.openxmlformats.org/officeDocument/2006/relationships/hyperlink" Target="https://www.planalto.gov.br/ccivil_03/decreto-lei/del2848compilado.htm" TargetMode="External" Id="rId17" /><Relationship Type="http://schemas.openxmlformats.org/officeDocument/2006/relationships/hyperlink" Target="https://www.planalto.gov.br/ccivil_03/decreto-lei/del2848compilado.htm" TargetMode="External" Id="rId18" /><Relationship Type="http://schemas.openxmlformats.org/officeDocument/2006/relationships/hyperlink" Target="https://www.planalto.gov.br/ccivil_03/decreto-lei/del2848compilado.htm" TargetMode="External" Id="rId19" /><Relationship Type="http://schemas.openxmlformats.org/officeDocument/2006/relationships/hyperlink" Target="https://www.planalto.gov.br/ccivil_03/decreto-lei/del2848compilado.htm" TargetMode="External" Id="rId20" /><Relationship Type="http://schemas.openxmlformats.org/officeDocument/2006/relationships/hyperlink" Target="https://www.planalto.gov.br/ccivil_03/decreto-lei/del2848compilado.htm" TargetMode="External" Id="rId21" /><Relationship Type="http://schemas.openxmlformats.org/officeDocument/2006/relationships/hyperlink" Target="https://www.planalto.gov.br/ccivil_03/decreto-lei/del2848compilado.htm" TargetMode="External" Id="rId22" /><Relationship Type="http://schemas.openxmlformats.org/officeDocument/2006/relationships/hyperlink" Target="https://www.planalto.gov.br/ccivil_03/decreto-lei/del2848compilado.htm" TargetMode="External" Id="rId23" /><Relationship Type="http://schemas.openxmlformats.org/officeDocument/2006/relationships/hyperlink" Target="https://www.planalto.gov.br/ccivil_03/decreto-lei/del2848compilado.htm" TargetMode="External" Id="rId24" /><Relationship Type="http://schemas.openxmlformats.org/officeDocument/2006/relationships/hyperlink" Target="https://www.planalto.gov.br/ccivil_03/decreto-lei/del2848compilado.htm" TargetMode="External" Id="rId25" /><Relationship Type="http://schemas.openxmlformats.org/officeDocument/2006/relationships/hyperlink" Target="https://www.planalto.gov.br/ccivil_03/decreto-lei/del2848compilado.htm" TargetMode="External" Id="rId26" /><Relationship Type="http://schemas.openxmlformats.org/officeDocument/2006/relationships/hyperlink" Target="https://www.planalto.gov.br/ccivil_03/decreto-lei/del2848compilado.htm" TargetMode="External" Id="rId27" /><Relationship Type="http://schemas.openxmlformats.org/officeDocument/2006/relationships/hyperlink" Target="https://www.planalto.gov.br/ccivil_03/decreto-lei/del2848compilado.htm" TargetMode="External" Id="rId28" /><Relationship Type="http://schemas.openxmlformats.org/officeDocument/2006/relationships/hyperlink" Target="https://www.planalto.gov.br/ccivil_03/decreto-lei/del2848compilado.htm" TargetMode="External" Id="rId29" /><Relationship Type="http://schemas.openxmlformats.org/officeDocument/2006/relationships/hyperlink" Target="https://www.planalto.gov.br/ccivil_03/decreto-lei/del2848compilado.htm" TargetMode="External" Id="rId30" /><Relationship Type="http://schemas.openxmlformats.org/officeDocument/2006/relationships/hyperlink" Target="https://www.planalto.gov.br/ccivil_03/decreto-lei/del2848compilado.htm" TargetMode="External" Id="rId31" /><Relationship Type="http://schemas.openxmlformats.org/officeDocument/2006/relationships/hyperlink" Target="https://www.planalto.gov.br/ccivil_03/decreto-lei/del2848compilado.htm" TargetMode="External" Id="rId32" /><Relationship Type="http://schemas.openxmlformats.org/officeDocument/2006/relationships/hyperlink" Target="https://www.planalto.gov.br/ccivil_03/decreto-lei/del2848compilado.htm" TargetMode="External" Id="rId33" /><Relationship Type="http://schemas.openxmlformats.org/officeDocument/2006/relationships/hyperlink" Target="https://www.planalto.gov.br/ccivil_03/decreto-lei/del2848compilado.htm" TargetMode="External" Id="rId34" /><Relationship Type="http://schemas.openxmlformats.org/officeDocument/2006/relationships/hyperlink" Target="https://www.planalto.gov.br/ccivil_03/decreto-lei/del1001compilado.htm" TargetMode="External" Id="rId35" /><Relationship Type="http://schemas.openxmlformats.org/officeDocument/2006/relationships/hyperlink" Target="https://www.planalto.gov.br/ccivil_03/decreto-lei/del1001compilado.htm" TargetMode="External" Id="rId36" /><Relationship Type="http://schemas.openxmlformats.org/officeDocument/2006/relationships/hyperlink" Target="https://www.planalto.gov.br/ccivil_03/decreto-lei/del1001compilado.htm" TargetMode="External" Id="rId37" /><Relationship Type="http://schemas.openxmlformats.org/officeDocument/2006/relationships/hyperlink" Target="https://www.planalto.gov.br/ccivil_03/decreto-lei/del1001compilado.htm" TargetMode="External" Id="rId38" /><Relationship Type="http://schemas.openxmlformats.org/officeDocument/2006/relationships/hyperlink" Target="https://www.planalto.gov.br/ccivil_03/decreto-lei/del1001compilado.htm" TargetMode="External" Id="rId39" /><Relationship Type="http://schemas.openxmlformats.org/officeDocument/2006/relationships/hyperlink" Target="https://www.planalto.gov.br/ccivil_03/decreto-lei/del1001compilado.htm" TargetMode="External" Id="rId40" /><Relationship Type="http://schemas.openxmlformats.org/officeDocument/2006/relationships/hyperlink" Target="https://www.planalto.gov.br/ccivil_03/decreto-lei/del1001compilado.htm" TargetMode="External" Id="rId41" /><Relationship Type="http://schemas.openxmlformats.org/officeDocument/2006/relationships/hyperlink" Target="https://www.planalto.gov.br/ccivil_03/decreto-lei/del1001compilado.htm" TargetMode="External" Id="rId42" /><Relationship Type="http://schemas.openxmlformats.org/officeDocument/2006/relationships/hyperlink" Target="https://www.planalto.gov.br/ccivil_03/decreto-lei/del1001compilado.htm" TargetMode="External" Id="rId43" /><Relationship Type="http://schemas.openxmlformats.org/officeDocument/2006/relationships/hyperlink" Target="https://www.planalto.gov.br/ccivil_03/decreto-lei/del1001compilado.htm" TargetMode="External" Id="rId44" /><Relationship Type="http://schemas.openxmlformats.org/officeDocument/2006/relationships/hyperlink" Target="https://www.planalto.gov.br/ccivil_03/decreto-lei/del1001compilado.htm" TargetMode="External" Id="rId45" /><Relationship Type="http://schemas.openxmlformats.org/officeDocument/2006/relationships/hyperlink" Target="https://www.planalto.gov.br/ccivil_03/decreto-lei/del1001compilado.htm" TargetMode="External" Id="rId46" /><Relationship Type="http://schemas.openxmlformats.org/officeDocument/2006/relationships/hyperlink" Target="https://www.planalto.gov.br/ccivil_03/decreto-lei/del1001compilado.htm" TargetMode="External" Id="rId47" /><Relationship Type="http://schemas.openxmlformats.org/officeDocument/2006/relationships/hyperlink" Target="https://www.planalto.gov.br/ccivil_03/decreto-lei/del1001compilado.htm" TargetMode="External" Id="rId48" /><Relationship Type="http://schemas.openxmlformats.org/officeDocument/2006/relationships/hyperlink" Target="https://www.planalto.gov.br/ccivil_03/decreto-lei/del1001compilado.htm" TargetMode="External" Id="rId49" /><Relationship Type="http://schemas.openxmlformats.org/officeDocument/2006/relationships/hyperlink" Target="https://www.planalto.gov.br/ccivil_03/decreto-lei/del1001compilado.htm" TargetMode="External" Id="rId50" /><Relationship Type="http://schemas.openxmlformats.org/officeDocument/2006/relationships/hyperlink" Target="https://www.planalto.gov.br/ccivil_03/decreto-lei/del1001compilado.htm" TargetMode="External" Id="rId51" /><Relationship Type="http://schemas.openxmlformats.org/officeDocument/2006/relationships/hyperlink" Target="https://www.planalto.gov.br/ccivil_03/decreto-lei/del1001compilado.htm" TargetMode="External" Id="rId52" /><Relationship Type="http://schemas.openxmlformats.org/officeDocument/2006/relationships/hyperlink" Target="https://www.planalto.gov.br/ccivil_03/decreto-lei/del1001compilado.htm" TargetMode="External" Id="rId53" /><Relationship Type="http://schemas.openxmlformats.org/officeDocument/2006/relationships/hyperlink" Target="https://www.planalto.gov.br/ccivil_03/decreto-lei/del1001compilado.htm" TargetMode="External" Id="rId54" /><Relationship Type="http://schemas.openxmlformats.org/officeDocument/2006/relationships/hyperlink" Target="https://www.planalto.gov.br/ccivil_03/decreto-lei/del1001compilado.htm" TargetMode="External" Id="rId55" /><Relationship Type="http://schemas.openxmlformats.org/officeDocument/2006/relationships/hyperlink" Target="https://www.planalto.gov.br/ccivil_03/decreto-lei/del1001compilado.htm" TargetMode="External" Id="rId56" /><Relationship Type="http://schemas.openxmlformats.org/officeDocument/2006/relationships/hyperlink" Target="https://www.planalto.gov.br/ccivil_03/decreto-lei/del1001compilado.htm" TargetMode="External" Id="rId57" /><Relationship Type="http://schemas.openxmlformats.org/officeDocument/2006/relationships/hyperlink" Target="https://www.planalto.gov.br/ccivil_03/decreto-lei/del1001compilado.htm" TargetMode="External" Id="rId58" /><Relationship Type="http://schemas.openxmlformats.org/officeDocument/2006/relationships/hyperlink" Target="https://www.planalto.gov.br/ccivil_03/decreto-lei/del1001compilado.htm" TargetMode="External" Id="rId59" /><Relationship Type="http://schemas.openxmlformats.org/officeDocument/2006/relationships/hyperlink" Target="https://www.planalto.gov.br/ccivil_03/decreto-lei/del1001compilado.htm" TargetMode="External" Id="rId60" /><Relationship Type="http://schemas.openxmlformats.org/officeDocument/2006/relationships/hyperlink" Target="https://www.planalto.gov.br/ccivil_03/decreto-lei/del1001compilado.htm" TargetMode="External" Id="rId61" /><Relationship Type="http://schemas.openxmlformats.org/officeDocument/2006/relationships/hyperlink" Target="https://www.planalto.gov.br/ccivil_03/decreto-lei/del1001compilado.htm" TargetMode="External" Id="rId62" /><Relationship Type="http://schemas.openxmlformats.org/officeDocument/2006/relationships/hyperlink" Target="https://www.planalto.gov.br/ccivil_03/decreto-lei/del1001compilado.htm" TargetMode="External" Id="rId63" /><Relationship Type="http://schemas.openxmlformats.org/officeDocument/2006/relationships/hyperlink" Target="https://www.planalto.gov.br/ccivil_03/decreto-lei/del1001compilado.htm" TargetMode="External" Id="rId64" /><Relationship Type="http://schemas.openxmlformats.org/officeDocument/2006/relationships/hyperlink" Target="https://www.planalto.gov.br/ccivil_03/decreto-lei/del1001compilado.htm" TargetMode="External" Id="rId65" /><Relationship Type="http://schemas.openxmlformats.org/officeDocument/2006/relationships/hyperlink" Target="https://www.planalto.gov.br/ccivil_03/leis/l1521.htm" TargetMode="External" Id="rId66" /><Relationship Type="http://schemas.openxmlformats.org/officeDocument/2006/relationships/hyperlink" Target="https://www.planalto.gov.br/ccivil_03/leis/l4737compilado.htm" TargetMode="External" Id="rId67" /><Relationship Type="http://schemas.openxmlformats.org/officeDocument/2006/relationships/hyperlink" Target="https://www.planalto.gov.br/ccivil_03/leis/l4737compilado.htm" TargetMode="External" Id="rId68" /><Relationship Type="http://schemas.openxmlformats.org/officeDocument/2006/relationships/hyperlink" Target="https://www.planalto.gov.br/ccivil_03/leis/l8137.htm" TargetMode="External" Id="rId69" /><Relationship Type="http://schemas.openxmlformats.org/officeDocument/2006/relationships/hyperlink" Target="https://www.planalto.gov.br/ccivil_03/leis/l6538.htm" TargetMode="External" Id="rId70" /><Relationship Type="http://schemas.openxmlformats.org/officeDocument/2006/relationships/hyperlink" Target="https://www.planalto.gov.br/ccivil_03/decreto-lei/del3688.htm" TargetMode="External" Id="rId71" /><Relationship Type="http://schemas.openxmlformats.org/officeDocument/2006/relationships/hyperlink" Target="https://www.planalto.gov.br/ccivil_03/_ato2019-2022/2019/lei/l13869.htm" TargetMode="External" Id="rId72" /><Relationship Type="http://schemas.openxmlformats.org/officeDocument/2006/relationships/hyperlink" Target="https://www.planalto.gov.br/ccivil_03/leis/l8137.htm" TargetMode="External" Id="rId73" /><Relationship Type="http://schemas.openxmlformats.org/officeDocument/2006/relationships/hyperlink" Target="https://www.planalto.gov.br/ccivil_03/_ato2004-2006/2005/lei/l11105.htm" TargetMode="External" Id="rId74" /><Relationship Type="http://schemas.openxmlformats.org/officeDocument/2006/relationships/hyperlink" Target="https://www.planalto.gov.br/ccivil_03/decreto-lei/1937-1946/del6259.htm" TargetMode="External" Id="rId75" /><Relationship Type="http://schemas.openxmlformats.org/officeDocument/2006/relationships/hyperlink" Target="https://www.planalto.gov.br/ccivil_03/decreto-lei/del3688.htm" TargetMode="External" Id="rId76" /><Relationship Type="http://schemas.openxmlformats.org/officeDocument/2006/relationships/hyperlink" Target="https://www.planalto.gov.br/ccivil_03/leis/l1521.htm" TargetMode="External" Id="rId77" /><Relationship Type="http://schemas.openxmlformats.org/officeDocument/2006/relationships/hyperlink" Target="https://www.planalto.gov.br/ccivil_03/_ato2011-2014/2013/lei/l12850.htm" TargetMode="External" Id="rId78" /><Relationship Type="http://schemas.openxmlformats.org/officeDocument/2006/relationships/hyperlink" Target="https://www.planalto.gov.br/ccivil_03/leis/2003/l10.741.htm" TargetMode="External" Id="rId79" /><Relationship Type="http://schemas.openxmlformats.org/officeDocument/2006/relationships/hyperlink" Target="https://www.planalto.gov.br/ccivil_03/_ato2019-2022/2019/lei/l13869.htm" TargetMode="External" Id="rId80" /><Relationship Type="http://schemas.openxmlformats.org/officeDocument/2006/relationships/hyperlink" Target="https://www.planalto.gov.br/ccivil_03/leis/l7716.htm" TargetMode="External" Id="rId81" /><Relationship Type="http://schemas.openxmlformats.org/officeDocument/2006/relationships/hyperlink" Target="https://www.planalto.gov.br/ccivil_03/leis/l9605.htm" TargetMode="External" Id="rId82" /><Relationship Type="http://schemas.openxmlformats.org/officeDocument/2006/relationships/hyperlink" Target="https://www.planalto.gov.br/ccivil_03/leis/l9605.htm" TargetMode="External" Id="rId83" /><Relationship Type="http://schemas.openxmlformats.org/officeDocument/2006/relationships/hyperlink" Target="https://www.planalto.gov.br/ccivil_03/leis/l9504.htm" TargetMode="External" Id="rId84" /><Relationship Type="http://schemas.openxmlformats.org/officeDocument/2006/relationships/hyperlink" Target="https://www.planalto.gov.br/ccivil_03/leis/l4737compilado.htm" TargetMode="External" Id="rId85" /><Relationship Type="http://schemas.openxmlformats.org/officeDocument/2006/relationships/hyperlink" Target="https://www.planalto.gov.br/ccivil_03/leis/l9605.htm" TargetMode="External" Id="rId86" /><Relationship Type="http://schemas.openxmlformats.org/officeDocument/2006/relationships/hyperlink" Target="https://www.planalto.gov.br/ccivil_03/leis/l8078compilado.htm" TargetMode="External" Id="rId87" /><Relationship Type="http://schemas.openxmlformats.org/officeDocument/2006/relationships/hyperlink" Target="https://www.planalto.gov.br/ccivil_03/_ato2004-2006/2005/lei/l11101.htm" TargetMode="External" Id="rId88" /><Relationship Type="http://schemas.openxmlformats.org/officeDocument/2006/relationships/hyperlink" Target="https://www.planalto.gov.br/ccivil_03/leis/l1579.htm" TargetMode="External" Id="rId89" /><Relationship Type="http://schemas.openxmlformats.org/officeDocument/2006/relationships/hyperlink" Target="https://www.planalto.gov.br/ccivil_03/leis/l8069compilado.htm" TargetMode="External" Id="rId90" /><Relationship Type="http://schemas.openxmlformats.org/officeDocument/2006/relationships/hyperlink" Target="https://www.planalto.gov.br/ccivil_03/decreto-lei/1937-1946/del6259.htm" TargetMode="External" Id="rId91" /><Relationship Type="http://schemas.openxmlformats.org/officeDocument/2006/relationships/hyperlink" Target="https://www.planalto.gov.br/ccivil_03/leis/l9613.htm" TargetMode="External" Id="rId92" /><Relationship Type="http://schemas.openxmlformats.org/officeDocument/2006/relationships/hyperlink" Target="https://www.planalto.gov.br/ccivil_03/leis/l4737compilado.htm" TargetMode="External" Id="rId93" /><Relationship Type="http://schemas.openxmlformats.org/officeDocument/2006/relationships/hyperlink" Target="https://www.planalto.gov.br/ccivil_03/leis/l2889.htm" TargetMode="External" Id="rId94" /><Relationship Type="http://schemas.openxmlformats.org/officeDocument/2006/relationships/hyperlink" Target="https://www.planalto.gov.br/ccivil_03/leis/l2889.htm" TargetMode="External" Id="rId95" /><Relationship Type="http://schemas.openxmlformats.org/officeDocument/2006/relationships/hyperlink" Target="https://www.planalto.gov.br/ccivil_03/decreto-lei/del3688.htm" TargetMode="External" Id="rId96" /><Relationship Type="http://schemas.openxmlformats.org/officeDocument/2006/relationships/hyperlink" Target="https://www.planalto.gov.br/ccivil_03/leis/l7716.htm" TargetMode="External" Id="rId97" /><Relationship Type="http://schemas.openxmlformats.org/officeDocument/2006/relationships/hyperlink" Target="https://www.planalto.gov.br/ccivil_03/decreto-lei/del0201.htm" TargetMode="External" Id="rId98" /><Relationship Type="http://schemas.openxmlformats.org/officeDocument/2006/relationships/hyperlink" Target="https://www.planalto.gov.br/ccivil_03/leis/l8069compilado.htm" TargetMode="External" Id="rId99" /><Relationship Type="http://schemas.openxmlformats.org/officeDocument/2006/relationships/hyperlink" Target="https://www.planalto.gov.br/ccivil_03/leis/l6538.htm" TargetMode="External" Id="rId100" /></Relationships>
</file>

<file path=xl/worksheets/_rels/sheet3.xml.rels><Relationships xmlns="http://schemas.openxmlformats.org/package/2006/relationships"><Relationship Type="http://schemas.openxmlformats.org/officeDocument/2006/relationships/hyperlink" Target="https://www.planalto.gov.br/ccivil_03/decreto-lei/del2848compilado.htm" TargetMode="External" Id="rId1" /><Relationship Type="http://schemas.openxmlformats.org/officeDocument/2006/relationships/hyperlink" Target="https://www.planalto.gov.br/ccivil_03/decreto-lei/del2848compilado.htm" TargetMode="External" Id="rId2" /><Relationship Type="http://schemas.openxmlformats.org/officeDocument/2006/relationships/hyperlink" Target="https://www.planalto.gov.br/ccivil_03/decreto-lei/del2848compilado.htm" TargetMode="External" Id="rId3" /><Relationship Type="http://schemas.openxmlformats.org/officeDocument/2006/relationships/hyperlink" Target="https://www.planalto.gov.br/ccivil_03/decreto-lei/del2848compilado.htm" TargetMode="External" Id="rId4" /><Relationship Type="http://schemas.openxmlformats.org/officeDocument/2006/relationships/hyperlink" Target="https://www.planalto.gov.br/ccivil_03/decreto-lei/del2848compilado.htm" TargetMode="External" Id="rId5" /><Relationship Type="http://schemas.openxmlformats.org/officeDocument/2006/relationships/hyperlink" Target="https://www.planalto.gov.br/ccivil_03/decreto-lei/del2848compilado.htm" TargetMode="External" Id="rId6" /><Relationship Type="http://schemas.openxmlformats.org/officeDocument/2006/relationships/hyperlink" Target="https://www.planalto.gov.br/ccivil_03/decreto-lei/del1001compilado.htm" TargetMode="External" Id="rId7" /><Relationship Type="http://schemas.openxmlformats.org/officeDocument/2006/relationships/hyperlink" Target="https://www.planalto.gov.br/ccivil_03/decreto-lei/del1001compilado.htm" TargetMode="External" Id="rId8" /><Relationship Type="http://schemas.openxmlformats.org/officeDocument/2006/relationships/hyperlink" Target="https://www.planalto.gov.br/ccivil_03/decreto-lei/del1001compilado.htm" TargetMode="External" Id="rId9" /><Relationship Type="http://schemas.openxmlformats.org/officeDocument/2006/relationships/hyperlink" Target="https://www.planalto.gov.br/ccivil_03/decreto-lei/del1001compilado.htm" TargetMode="External" Id="rId10" /><Relationship Type="http://schemas.openxmlformats.org/officeDocument/2006/relationships/hyperlink" Target="https://www.planalto.gov.br/ccivil_03/decreto-lei/del1001compilado.htm" TargetMode="External" Id="rId11" /><Relationship Type="http://schemas.openxmlformats.org/officeDocument/2006/relationships/hyperlink" Target="https://www.planalto.gov.br/ccivil_03/leis/l1521.htm" TargetMode="External" Id="rId12" /><Relationship Type="http://schemas.openxmlformats.org/officeDocument/2006/relationships/hyperlink" Target="https://www.planalto.gov.br/ccivil_03/leis/l4737compilado.htm" TargetMode="External" Id="rId13" /><Relationship Type="http://schemas.openxmlformats.org/officeDocument/2006/relationships/hyperlink" Target="https://www.planalto.gov.br/ccivil_03/leis/l4737compilado.htm" TargetMode="External" Id="rId14" /><Relationship Type="http://schemas.openxmlformats.org/officeDocument/2006/relationships/hyperlink" Target="https://www.planalto.gov.br/ccivil_03/leis/l8137.htm" TargetMode="External" Id="rId15" /><Relationship Type="http://schemas.openxmlformats.org/officeDocument/2006/relationships/hyperlink" Target="https://www.planalto.gov.br/ccivil_03/leis/l6538.htm" TargetMode="External" Id="rId16" /><Relationship Type="http://schemas.openxmlformats.org/officeDocument/2006/relationships/hyperlink" Target="https://www.planalto.gov.br/ccivil_03/decreto-lei/del3688.htm" TargetMode="External" Id="rId17" /><Relationship Type="http://schemas.openxmlformats.org/officeDocument/2006/relationships/hyperlink" Target="https://www.planalto.gov.br/ccivil_03/_ato2019-2022/2019/lei/l13869.htm" TargetMode="External" Id="rId18" /><Relationship Type="http://schemas.openxmlformats.org/officeDocument/2006/relationships/hyperlink" Target="https://www.planalto.gov.br/ccivil_03/leis/l1579.htm" TargetMode="External" Id="rId19" /><Relationship Type="http://schemas.openxmlformats.org/officeDocument/2006/relationships/hyperlink" Target="https://www.planalto.gov.br/ccivil_03/leis/l8069compilado.htm" TargetMode="External" Id="rId20"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AtlasPen — auditoria por amostra: fichas e apuração</t>
        </is>
      </c>
    </row>
    <row r="2">
      <c r="A2" t="inlineStr">
        <is>
          <t>Protocolo: AUDITORIA.md · versão auditada: commit 26742210c50e5ccdebfbd99b68784fa4ac70333d · amostra gerada em 2026-09-28</t>
        </is>
      </c>
    </row>
    <row r="3">
      <c r="A3" t="inlineStr">
        <is>
          <t>100 fichas para o Revisor A; 20 delas (em amarelo) também para o Revisor B, que não vê a ficha de A.</t>
        </is>
      </c>
    </row>
    <row r="5">
      <c r="A5" s="2" t="inlineStr">
        <is>
          <t>Como preencher</t>
        </is>
      </c>
    </row>
    <row r="6">
      <c r="A6" s="3" t="inlineStr">
        <is>
          <t>1. Abra o link do compilado e leia o dispositivo indicado — o caput e os parágrafos que ele cita. Não consulte o site do AtlasPen: a ficha é cega de propósito, e ver o valor publicado induz a confirmá-lo.</t>
        </is>
      </c>
    </row>
    <row r="7">
      <c r="A7" s="3" t="inlineStr">
        <is>
          <t>2. Preencha os nove campos com o que A LEI diz. Pena mínima e máxima em MESES inteiros (1 ano = 12; 2 anos e 6 meses = 30; se a lei não fixa mínimo, escreva 0). Onde há lista suspensa, escolha um valor.</t>
        </is>
      </c>
    </row>
    <row r="8">
      <c r="A8" s="3" t="inlineStr">
        <is>
          <t>3. 'Hediondo' pede o rol do art. 1º da Lei 8.072/90, inclusive equiparados (CF, art. 5º, XLIII). 'Violência' e 'grave ameaça' são a violência DOLOSA contra pessoa e a ameaça como meio ou núcleo do tipo. 'Elemento subjetivo' segue a régua do projeto: doloso, culposo, preterdoloso, ou qualificado pelo resultado.</t>
        </is>
      </c>
    </row>
    <row r="9">
      <c r="A9" s="3" t="inlineStr">
        <is>
          <t>4. Quando o compilado não permitir decidir um campo, ou permitir mais de uma leitura, NÃO chute: escreva na coluna 'ressalvas' no formato  campo: fonte insuficiente — motivo   ou   campo: juízo discutível — qual leitura e por quê. Uma ressalva por linha.</t>
        </is>
      </c>
    </row>
    <row r="10">
      <c r="A10" s="3" t="inlineStr">
        <is>
          <t>5. Anote o tempo gasto na ficha, em minutos. Serve para calibrar a fase 2 do protocolo.</t>
        </is>
      </c>
    </row>
    <row r="11">
      <c r="A11" s="3" t="inlineStr">
        <is>
          <t>6. Só DEPOIS de preencher a aba 'Fichas', abra 'Nomes e vigência': lá estão o nome publicado e a vigência, para você dizer se conferem com o que leu.</t>
        </is>
      </c>
    </row>
    <row r="12">
      <c r="A12" s="3" t="inlineStr">
        <is>
          <t>7. Linha destacada em amarelo está na subamostra de dupla conferência: se houver segunda pessoa, ela lê só essas, na aba Revisor B, sem ver a ficha da primeira.</t>
        </is>
      </c>
    </row>
    <row r="13">
      <c r="A13" s="3" t="inlineStr"/>
    </row>
    <row r="14">
      <c r="A14" s="2" t="inlineStr">
        <is>
          <t>O que acontece depois</t>
        </is>
      </c>
    </row>
    <row r="15">
      <c r="A15" s="3" t="inlineStr">
        <is>
          <t>A apuração (scripts/auditoria/apurar.py) compara cada campo com o gabarito. Confere e diverge saem da comparação; 'fonte insuficiente' e 'juízo discutível' são suas, e não contam como divergência. Toda divergência vira correção no dado, pelo fluxo normal — nunca exceção.</t>
        </is>
      </c>
    </row>
    <row r="16">
      <c r="A16" s="3" t="inlineStr"/>
    </row>
    <row r="17">
      <c r="A17" s="2" t="inlineStr">
        <is>
          <t>As abas</t>
        </is>
      </c>
    </row>
    <row r="18">
      <c r="A18" s="3" t="inlineStr">
        <is>
          <t>Revisor A — as 100 fichas. Revisor B — só as 20 da dupla conferência, para a segunda pessoa (opcional: se houver uma só, ignore a aba). Cada um preenche a sua aba sem ver a do outro.</t>
        </is>
      </c>
    </row>
    <row r="19">
      <c r="A19" s="3" t="inlineStr">
        <is>
          <t>Apuração A e Apuração B — calculadas por fórmula: para cada campo, confere, diverge, fonte insuficiente, juízo discutível ou não preenchido. Resumo — taxa, intervalo exato e κ de Cohen. Gabarito — oculto e protegido (senha com o mantenedor): é o valor publicado, e a ficha é cega de propósito.</t>
        </is>
      </c>
    </row>
    <row r="20">
      <c r="A20" s="3" t="inlineStr">
        <is>
          <t>Nada aqui é lido pelo AtlasPen automaticamente: a apuração de referência é o scripts/auditoria/apurar.py, que dá os mesmos números. A planilha existe para que a conferência se veja enquanto se faz.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8" customWidth="1" min="3" max="3"/>
    <col width="40" customWidth="1" min="4" max="4"/>
    <col width="7" customWidth="1" min="5" max="5"/>
    <col width="13" customWidth="1" min="6" max="6"/>
    <col width="16" customWidth="1" min="7" max="7"/>
    <col width="13" customWidth="1" min="8" max="8"/>
    <col width="16" customWidth="1" min="9" max="9"/>
    <col width="13" customWidth="1" min="10" max="10"/>
    <col width="16" customWidth="1" min="11" max="11"/>
    <col width="13" customWidth="1" min="12" max="12"/>
    <col width="16" customWidth="1" min="13" max="13"/>
    <col width="13" customWidth="1" min="14" max="14"/>
    <col width="16" customWidth="1" min="15" max="15"/>
    <col width="13" customWidth="1" min="16" max="16"/>
    <col width="16" customWidth="1" min="17" max="17"/>
    <col width="13" customWidth="1" min="18" max="18"/>
    <col width="16" customWidth="1" min="19" max="19"/>
    <col width="13" customWidth="1" min="20" max="20"/>
    <col width="16" customWidth="1" min="21" max="21"/>
    <col width="13" customWidth="1" min="22" max="22"/>
    <col width="16" customWidth="1" min="23" max="23"/>
    <col width="9" customWidth="1" min="24" max="24"/>
    <col width="28" customWidth="1" min="25" max="25"/>
    <col width="50" customWidth="1" min="26" max="26"/>
    <col width="10" customWidth="1" min="27" max="27"/>
    <col width="16" customWidth="1" min="28" max="28"/>
    <col width="16" customWidth="1" min="29" max="29"/>
  </cols>
  <sheetData>
    <row r="1">
      <c r="A1" s="4" t="inlineStr">
        <is>
          <t>id</t>
        </is>
      </c>
      <c r="B1" s="4" t="inlineStr">
        <is>
          <t>diploma</t>
        </is>
      </c>
      <c r="C1" s="4" t="inlineStr">
        <is>
          <t>dispositivo</t>
        </is>
      </c>
      <c r="D1" s="4" t="inlineStr">
        <is>
          <t>link do compilado</t>
        </is>
      </c>
      <c r="E1" s="4" t="inlineStr">
        <is>
          <t>dupla</t>
        </is>
      </c>
      <c r="F1" s="4" t="inlineStr">
        <is>
          <t>pena mínima (meses)</t>
        </is>
      </c>
      <c r="G1" s="4" t="inlineStr">
        <is>
          <t>ressalva</t>
        </is>
      </c>
      <c r="H1" s="4" t="inlineStr">
        <is>
          <t>pena máxima (meses)</t>
        </is>
      </c>
      <c r="I1" s="4" t="inlineStr">
        <is>
          <t>ressalva</t>
        </is>
      </c>
      <c r="J1" s="4" t="inlineStr">
        <is>
          <t>espécie de pena</t>
        </is>
      </c>
      <c r="K1" s="4" t="inlineStr">
        <is>
          <t>ressalva</t>
        </is>
      </c>
      <c r="L1" s="4" t="inlineStr">
        <is>
          <t>hediondo</t>
        </is>
      </c>
      <c r="M1" s="4" t="inlineStr">
        <is>
          <t>ressalva</t>
        </is>
      </c>
      <c r="N1" s="4" t="inlineStr">
        <is>
          <t>violência</t>
        </is>
      </c>
      <c r="O1" s="4" t="inlineStr">
        <is>
          <t>ressalva</t>
        </is>
      </c>
      <c r="P1" s="4" t="inlineStr">
        <is>
          <t>grave ameaça</t>
        </is>
      </c>
      <c r="Q1" s="4" t="inlineStr">
        <is>
          <t>ressalva</t>
        </is>
      </c>
      <c r="R1" s="4" t="inlineStr">
        <is>
          <t>elemento subjetivo</t>
        </is>
      </c>
      <c r="S1" s="4" t="inlineStr">
        <is>
          <t>ressalva</t>
        </is>
      </c>
      <c r="T1" s="4" t="inlineStr">
        <is>
          <t>admite tentativa</t>
        </is>
      </c>
      <c r="U1" s="4" t="inlineStr">
        <is>
          <t>ressalva</t>
        </is>
      </c>
      <c r="V1" s="4" t="inlineStr">
        <is>
          <t>ação penal</t>
        </is>
      </c>
      <c r="W1" s="4" t="inlineStr">
        <is>
          <t>ressalva</t>
        </is>
      </c>
      <c r="X1" s="4" t="inlineStr">
        <is>
          <t>tempo (min)</t>
        </is>
      </c>
      <c r="Y1" s="4" t="inlineStr">
        <is>
          <t>observações</t>
        </is>
      </c>
      <c r="Z1" s="4" t="inlineStr">
        <is>
          <t>nome publicado</t>
        </is>
      </c>
      <c r="AA1" s="4" t="inlineStr">
        <is>
          <t>vigente (publicado)</t>
        </is>
      </c>
      <c r="AB1" s="4" t="inlineStr">
        <is>
          <t>nome confere?</t>
        </is>
      </c>
      <c r="AC1" s="4" t="inlineStr">
        <is>
          <t>vigência confere?</t>
        </is>
      </c>
    </row>
    <row r="2">
      <c r="A2" s="5" t="n">
        <v>165</v>
      </c>
      <c r="B2" s="6" t="inlineStr">
        <is>
          <t>CP</t>
        </is>
      </c>
      <c r="C2" s="6" t="inlineStr">
        <is>
          <t>Art. 211</t>
        </is>
      </c>
      <c r="D2" s="7" t="inlineStr">
        <is>
          <t>https://www.planalto.gov.br/ccivil_03/decreto-lei/del2848compilado.htm</t>
        </is>
      </c>
      <c r="E2" s="5" t="inlineStr">
        <is>
          <t>sim</t>
        </is>
      </c>
      <c r="F2" s="8" t="n"/>
      <c r="H2" s="8" t="n"/>
      <c r="J2" s="9" t="n"/>
      <c r="L2" s="9" t="n"/>
      <c r="N2" s="9" t="n"/>
      <c r="P2" s="9" t="n"/>
      <c r="R2" s="9" t="n"/>
      <c r="T2" s="9" t="n"/>
      <c r="V2" s="9" t="n"/>
      <c r="Z2" s="9" t="inlineStr">
        <is>
          <t>Destruição, subtração ou ocultação de cadáver</t>
        </is>
      </c>
      <c r="AA2" t="inlineStr">
        <is>
          <t>Sim</t>
        </is>
      </c>
    </row>
    <row r="3">
      <c r="A3" s="5" t="n">
        <v>1335</v>
      </c>
      <c r="B3" s="6" t="inlineStr">
        <is>
          <t>CP</t>
        </is>
      </c>
      <c r="C3" s="6" t="inlineStr">
        <is>
          <t>Art. 254 (no caso de culpa)</t>
        </is>
      </c>
      <c r="D3" s="7" t="inlineStr">
        <is>
          <t>https://www.planalto.gov.br/ccivil_03/decreto-lei/del2848compilado.htm</t>
        </is>
      </c>
      <c r="E3" s="5" t="inlineStr">
        <is>
          <t>sim</t>
        </is>
      </c>
      <c r="F3" s="8" t="n"/>
      <c r="H3" s="8" t="n"/>
      <c r="J3" s="9" t="n"/>
      <c r="L3" s="9" t="n"/>
      <c r="N3" s="9" t="n"/>
      <c r="P3" s="9" t="n"/>
      <c r="R3" s="9" t="n"/>
      <c r="T3" s="9" t="n"/>
      <c r="V3" s="9" t="n"/>
      <c r="Z3" s="9" t="inlineStr">
        <is>
          <t>Inundação — modalidade culposa</t>
        </is>
      </c>
      <c r="AA3" t="inlineStr">
        <is>
          <t>Sim</t>
        </is>
      </c>
    </row>
    <row r="4">
      <c r="A4" s="5" t="n">
        <v>172</v>
      </c>
      <c r="B4" s="6" t="inlineStr">
        <is>
          <t>CP</t>
        </is>
      </c>
      <c r="C4" s="6" t="inlineStr">
        <is>
          <t>Art. 235</t>
        </is>
      </c>
      <c r="D4" s="7" t="inlineStr">
        <is>
          <t>https://www.planalto.gov.br/ccivil_03/decreto-lei/del2848compilado.htm</t>
        </is>
      </c>
      <c r="E4" s="5" t="inlineStr">
        <is>
          <t>sim</t>
        </is>
      </c>
      <c r="F4" s="8" t="n"/>
      <c r="H4" s="8" t="n"/>
      <c r="J4" s="9" t="n"/>
      <c r="L4" s="9" t="n"/>
      <c r="N4" s="9" t="n"/>
      <c r="P4" s="9" t="n"/>
      <c r="R4" s="9" t="n"/>
      <c r="T4" s="9" t="n"/>
      <c r="V4" s="9" t="n"/>
      <c r="Z4" s="9" t="inlineStr">
        <is>
          <t>Bigamia</t>
        </is>
      </c>
      <c r="AA4" t="inlineStr">
        <is>
          <t>Sim</t>
        </is>
      </c>
    </row>
    <row r="5">
      <c r="A5" s="5" t="n">
        <v>994</v>
      </c>
      <c r="B5" s="6" t="inlineStr">
        <is>
          <t>CP</t>
        </is>
      </c>
      <c r="C5" s="6" t="inlineStr">
        <is>
          <t>Art. 162, caput</t>
        </is>
      </c>
      <c r="D5" s="7" t="inlineStr">
        <is>
          <t>https://www.planalto.gov.br/ccivil_03/decreto-lei/del2848compilado.htm</t>
        </is>
      </c>
      <c r="E5" s="5" t="inlineStr">
        <is>
          <t>sim</t>
        </is>
      </c>
      <c r="F5" s="8" t="n"/>
      <c r="H5" s="8" t="n"/>
      <c r="J5" s="9" t="n"/>
      <c r="L5" s="9" t="n"/>
      <c r="N5" s="9" t="n"/>
      <c r="P5" s="9" t="n"/>
      <c r="R5" s="9" t="n"/>
      <c r="T5" s="9" t="n"/>
      <c r="V5" s="9" t="n"/>
      <c r="Z5" s="9" t="inlineStr">
        <is>
          <t>Alteração de marca ou sinal indicativo de propriedade de gado ou rebanho</t>
        </is>
      </c>
      <c r="AA5" t="inlineStr">
        <is>
          <t>Sim</t>
        </is>
      </c>
    </row>
    <row r="6">
      <c r="A6" s="5" t="n">
        <v>70</v>
      </c>
      <c r="B6" s="6" t="inlineStr">
        <is>
          <t>CP</t>
        </is>
      </c>
      <c r="C6" s="6" t="inlineStr">
        <is>
          <t>Art. 148, §1º</t>
        </is>
      </c>
      <c r="D6" s="7" t="inlineStr">
        <is>
          <t>https://www.planalto.gov.br/ccivil_03/decreto-lei/del2848compilado.htm</t>
        </is>
      </c>
      <c r="E6" s="5" t="inlineStr">
        <is>
          <t>sim</t>
        </is>
      </c>
      <c r="F6" s="8" t="n"/>
      <c r="H6" s="8" t="n"/>
      <c r="J6" s="9" t="n"/>
      <c r="L6" s="9" t="n"/>
      <c r="N6" s="9" t="n"/>
      <c r="P6" s="9" t="n"/>
      <c r="R6" s="9" t="n"/>
      <c r="T6" s="9" t="n"/>
      <c r="V6" s="9" t="n"/>
      <c r="Z6" s="9" t="inlineStr">
        <is>
          <t>Sequestro qualificado (fins libidinosos, menor de 18, maus-tratos, mais de 15 dias)</t>
        </is>
      </c>
      <c r="AA6" t="inlineStr">
        <is>
          <t>Sim</t>
        </is>
      </c>
    </row>
    <row r="7">
      <c r="A7" s="5" t="n">
        <v>66</v>
      </c>
      <c r="B7" s="6" t="inlineStr">
        <is>
          <t>CP</t>
        </is>
      </c>
      <c r="C7" s="6" t="inlineStr">
        <is>
          <t>Art. 147</t>
        </is>
      </c>
      <c r="D7" s="7" t="inlineStr">
        <is>
          <t>https://www.planalto.gov.br/ccivil_03/decreto-lei/del2848compilado.htm</t>
        </is>
      </c>
      <c r="E7" s="5" t="inlineStr">
        <is>
          <t>sim</t>
        </is>
      </c>
      <c r="F7" s="8" t="n"/>
      <c r="H7" s="8" t="n"/>
      <c r="J7" s="9" t="n"/>
      <c r="L7" s="9" t="n"/>
      <c r="N7" s="9" t="n"/>
      <c r="P7" s="9" t="n"/>
      <c r="R7" s="9" t="n"/>
      <c r="T7" s="9" t="n"/>
      <c r="V7" s="9" t="n"/>
      <c r="Z7" s="9" t="inlineStr">
        <is>
          <t>Ameaça</t>
        </is>
      </c>
      <c r="AA7" t="inlineStr">
        <is>
          <t>Sim</t>
        </is>
      </c>
    </row>
    <row r="8">
      <c r="A8" t="n">
        <v>280</v>
      </c>
      <c r="B8" s="9" t="inlineStr">
        <is>
          <t>CP</t>
        </is>
      </c>
      <c r="C8" s="9" t="inlineStr">
        <is>
          <t>Art. 342</t>
        </is>
      </c>
      <c r="D8" s="10" t="inlineStr">
        <is>
          <t>https://www.planalto.gov.br/ccivil_03/decreto-lei/del2848compilado.htm</t>
        </is>
      </c>
      <c r="E8" t="inlineStr"/>
      <c r="F8" s="8" t="n"/>
      <c r="H8" s="8" t="n"/>
      <c r="J8" s="9" t="n"/>
      <c r="L8" s="9" t="n"/>
      <c r="N8" s="9" t="n"/>
      <c r="P8" s="9" t="n"/>
      <c r="R8" s="9" t="n"/>
      <c r="T8" s="9" t="n"/>
      <c r="V8" s="9" t="n"/>
      <c r="Z8" s="9" t="inlineStr">
        <is>
          <t>Falso testemunho ou falsa perícia</t>
        </is>
      </c>
      <c r="AA8" t="inlineStr">
        <is>
          <t>Sim</t>
        </is>
      </c>
    </row>
    <row r="9">
      <c r="A9" t="n">
        <v>231</v>
      </c>
      <c r="B9" s="9" t="inlineStr">
        <is>
          <t>CP</t>
        </is>
      </c>
      <c r="C9" s="9" t="inlineStr">
        <is>
          <t>Art. 297</t>
        </is>
      </c>
      <c r="D9" s="10" t="inlineStr">
        <is>
          <t>https://www.planalto.gov.br/ccivil_03/decreto-lei/del2848compilado.htm</t>
        </is>
      </c>
      <c r="E9" t="inlineStr"/>
      <c r="F9" s="8" t="n"/>
      <c r="H9" s="8" t="n"/>
      <c r="J9" s="9" t="n"/>
      <c r="L9" s="9" t="n"/>
      <c r="N9" s="9" t="n"/>
      <c r="P9" s="9" t="n"/>
      <c r="R9" s="9" t="n"/>
      <c r="T9" s="9" t="n"/>
      <c r="V9" s="9" t="n"/>
      <c r="Z9" s="9" t="inlineStr">
        <is>
          <t>Falsificação de documento público</t>
        </is>
      </c>
      <c r="AA9" t="inlineStr">
        <is>
          <t>Sim</t>
        </is>
      </c>
    </row>
    <row r="10">
      <c r="A10" t="n">
        <v>1379</v>
      </c>
      <c r="B10" s="9" t="inlineStr">
        <is>
          <t>CP</t>
        </is>
      </c>
      <c r="C10" s="9" t="inlineStr">
        <is>
          <t>Art. 348, §1º</t>
        </is>
      </c>
      <c r="D10" s="10" t="inlineStr">
        <is>
          <t>https://www.planalto.gov.br/ccivil_03/decreto-lei/del2848compilado.htm</t>
        </is>
      </c>
      <c r="E10" t="inlineStr"/>
      <c r="F10" s="8" t="n"/>
      <c r="H10" s="8" t="n"/>
      <c r="J10" s="9" t="n"/>
      <c r="L10" s="9" t="n"/>
      <c r="N10" s="9" t="n"/>
      <c r="P10" s="9" t="n"/>
      <c r="R10" s="9" t="n"/>
      <c r="T10" s="9" t="n"/>
      <c r="V10" s="9" t="n"/>
      <c r="Z10" s="9" t="inlineStr">
        <is>
          <t>Favorecimento pessoal — Se ao crime não é cominada pena de reclusão</t>
        </is>
      </c>
      <c r="AA10" t="inlineStr">
        <is>
          <t>Sim</t>
        </is>
      </c>
    </row>
    <row r="11">
      <c r="A11" t="n">
        <v>153</v>
      </c>
      <c r="B11" s="9" t="inlineStr">
        <is>
          <t>CP</t>
        </is>
      </c>
      <c r="C11" s="9" t="inlineStr">
        <is>
          <t>Art. 199</t>
        </is>
      </c>
      <c r="D11" s="10" t="inlineStr">
        <is>
          <t>https://www.planalto.gov.br/ccivil_03/decreto-lei/del2848compilado.htm</t>
        </is>
      </c>
      <c r="E11" t="inlineStr"/>
      <c r="F11" s="8" t="n"/>
      <c r="H11" s="8" t="n"/>
      <c r="J11" s="9" t="n"/>
      <c r="L11" s="9" t="n"/>
      <c r="N11" s="9" t="n"/>
      <c r="P11" s="9" t="n"/>
      <c r="R11" s="9" t="n"/>
      <c r="T11" s="9" t="n"/>
      <c r="V11" s="9" t="n"/>
      <c r="Z11" s="9" t="inlineStr">
        <is>
          <t>Atentado contra a liberdade de associação</t>
        </is>
      </c>
      <c r="AA11" t="inlineStr">
        <is>
          <t>Sim</t>
        </is>
      </c>
    </row>
    <row r="12">
      <c r="A12" t="n">
        <v>275</v>
      </c>
      <c r="B12" s="9" t="inlineStr">
        <is>
          <t>CP</t>
        </is>
      </c>
      <c r="C12" s="9" t="inlineStr">
        <is>
          <t>Art. 337-B</t>
        </is>
      </c>
      <c r="D12" s="10" t="inlineStr">
        <is>
          <t>https://www.planalto.gov.br/ccivil_03/decreto-lei/del2848compilado.htm</t>
        </is>
      </c>
      <c r="E12" t="inlineStr"/>
      <c r="F12" s="8" t="n"/>
      <c r="H12" s="8" t="n"/>
      <c r="J12" s="9" t="n"/>
      <c r="L12" s="9" t="n"/>
      <c r="N12" s="9" t="n"/>
      <c r="P12" s="9" t="n"/>
      <c r="R12" s="9" t="n"/>
      <c r="T12" s="9" t="n"/>
      <c r="V12" s="9" t="n"/>
      <c r="Z12" s="9" t="inlineStr">
        <is>
          <t>Corrupção ativa em transação comercial internacional</t>
        </is>
      </c>
      <c r="AA12" t="inlineStr">
        <is>
          <t>Sim</t>
        </is>
      </c>
    </row>
    <row r="13">
      <c r="A13" t="n">
        <v>1375</v>
      </c>
      <c r="B13" s="9" t="inlineStr">
        <is>
          <t>CP</t>
        </is>
      </c>
      <c r="C13" s="9" t="inlineStr">
        <is>
          <t>Art. 337-M</t>
        </is>
      </c>
      <c r="D13" s="10" t="inlineStr">
        <is>
          <t>https://www.planalto.gov.br/ccivil_03/decreto-lei/del2848compilado.htm</t>
        </is>
      </c>
      <c r="E13" t="inlineStr"/>
      <c r="F13" s="8" t="n"/>
      <c r="H13" s="8" t="n"/>
      <c r="J13" s="9" t="n"/>
      <c r="L13" s="9" t="n"/>
      <c r="N13" s="9" t="n"/>
      <c r="P13" s="9" t="n"/>
      <c r="R13" s="9" t="n"/>
      <c r="T13" s="9" t="n"/>
      <c r="V13" s="9" t="n"/>
      <c r="Z13" s="9" t="inlineStr">
        <is>
          <t>Contratação inidônea</t>
        </is>
      </c>
      <c r="AA13" t="inlineStr">
        <is>
          <t>Sim</t>
        </is>
      </c>
    </row>
    <row r="14">
      <c r="A14" t="n">
        <v>186</v>
      </c>
      <c r="B14" s="9" t="inlineStr">
        <is>
          <t>CP</t>
        </is>
      </c>
      <c r="C14" s="9" t="inlineStr">
        <is>
          <t>Art. 250, §2º</t>
        </is>
      </c>
      <c r="D14" s="10" t="inlineStr">
        <is>
          <t>https://www.planalto.gov.br/ccivil_03/decreto-lei/del2848compilado.htm</t>
        </is>
      </c>
      <c r="E14" t="inlineStr"/>
      <c r="F14" s="8" t="n"/>
      <c r="H14" s="8" t="n"/>
      <c r="J14" s="9" t="n"/>
      <c r="L14" s="9" t="n"/>
      <c r="N14" s="9" t="n"/>
      <c r="P14" s="9" t="n"/>
      <c r="R14" s="9" t="n"/>
      <c r="T14" s="9" t="n"/>
      <c r="V14" s="9" t="n"/>
      <c r="Z14" s="9" t="inlineStr">
        <is>
          <t>Incêndio culposo</t>
        </is>
      </c>
      <c r="AA14" t="inlineStr">
        <is>
          <t>Sim</t>
        </is>
      </c>
    </row>
    <row r="15">
      <c r="A15" t="n">
        <v>49</v>
      </c>
      <c r="B15" s="9" t="inlineStr">
        <is>
          <t>CP</t>
        </is>
      </c>
      <c r="C15" s="9" t="inlineStr">
        <is>
          <t>Art. 133, §2º</t>
        </is>
      </c>
      <c r="D15" s="10" t="inlineStr">
        <is>
          <t>https://www.planalto.gov.br/ccivil_03/decreto-lei/del2848compilado.htm</t>
        </is>
      </c>
      <c r="E15" t="inlineStr"/>
      <c r="F15" s="8" t="n"/>
      <c r="H15" s="8" t="n"/>
      <c r="J15" s="9" t="n"/>
      <c r="L15" s="9" t="n"/>
      <c r="N15" s="9" t="n"/>
      <c r="P15" s="9" t="n"/>
      <c r="R15" s="9" t="n"/>
      <c r="T15" s="9" t="n"/>
      <c r="V15" s="9" t="n"/>
      <c r="Z15" s="9" t="inlineStr">
        <is>
          <t>Abandono de incapaz com resultado morte</t>
        </is>
      </c>
      <c r="AA15" t="inlineStr">
        <is>
          <t>Sim</t>
        </is>
      </c>
    </row>
    <row r="16">
      <c r="A16" t="n">
        <v>213</v>
      </c>
      <c r="B16" s="9" t="inlineStr">
        <is>
          <t>CP</t>
        </is>
      </c>
      <c r="C16" s="9" t="inlineStr">
        <is>
          <t>Art. 278</t>
        </is>
      </c>
      <c r="D16" s="10" t="inlineStr">
        <is>
          <t>https://www.planalto.gov.br/ccivil_03/decreto-lei/del2848compilado.htm</t>
        </is>
      </c>
      <c r="E16" t="inlineStr"/>
      <c r="F16" s="8" t="n"/>
      <c r="H16" s="8" t="n"/>
      <c r="J16" s="9" t="n"/>
      <c r="L16" s="9" t="n"/>
      <c r="N16" s="9" t="n"/>
      <c r="P16" s="9" t="n"/>
      <c r="R16" s="9" t="n"/>
      <c r="T16" s="9" t="n"/>
      <c r="V16" s="9" t="n"/>
      <c r="Z16" s="9" t="inlineStr">
        <is>
          <t>Outras substâncias nocivas à saúde pública</t>
        </is>
      </c>
      <c r="AA16" t="inlineStr">
        <is>
          <t>Sim</t>
        </is>
      </c>
    </row>
    <row r="17">
      <c r="A17" t="n">
        <v>151</v>
      </c>
      <c r="B17" s="9" t="inlineStr">
        <is>
          <t>CP</t>
        </is>
      </c>
      <c r="C17" s="9" t="inlineStr">
        <is>
          <t>Art. 197, I</t>
        </is>
      </c>
      <c r="D17" s="10" t="inlineStr">
        <is>
          <t>https://www.planalto.gov.br/ccivil_03/decreto-lei/del2848compilado.htm</t>
        </is>
      </c>
      <c r="E17" t="inlineStr"/>
      <c r="F17" s="8" t="n"/>
      <c r="H17" s="8" t="n"/>
      <c r="J17" s="9" t="n"/>
      <c r="L17" s="9" t="n"/>
      <c r="N17" s="9" t="n"/>
      <c r="P17" s="9" t="n"/>
      <c r="R17" s="9" t="n"/>
      <c r="T17" s="9" t="n"/>
      <c r="V17" s="9" t="n"/>
      <c r="Z17" s="9" t="inlineStr">
        <is>
          <t>Atentado contra a liberdade de trabalho — profissão ou trabalho</t>
        </is>
      </c>
      <c r="AA17" t="inlineStr">
        <is>
          <t>Sim</t>
        </is>
      </c>
    </row>
    <row r="18">
      <c r="A18" t="n">
        <v>1338</v>
      </c>
      <c r="B18" s="9" t="inlineStr">
        <is>
          <t>CP</t>
        </is>
      </c>
      <c r="C18" s="9" t="inlineStr">
        <is>
          <t>Art. 134, §1º</t>
        </is>
      </c>
      <c r="D18" s="10" t="inlineStr">
        <is>
          <t>https://www.planalto.gov.br/ccivil_03/decreto-lei/del2848compilado.htm</t>
        </is>
      </c>
      <c r="E18" t="inlineStr"/>
      <c r="F18" s="8" t="n"/>
      <c r="H18" s="8" t="n"/>
      <c r="J18" s="9" t="n"/>
      <c r="L18" s="9" t="n"/>
      <c r="N18" s="9" t="n"/>
      <c r="P18" s="9" t="n"/>
      <c r="R18" s="9" t="n"/>
      <c r="T18" s="9" t="n"/>
      <c r="V18" s="9" t="n"/>
      <c r="Z18" s="9" t="inlineStr">
        <is>
          <t>Exposição ou abandono de recém-nascido — lesão grave</t>
        </is>
      </c>
      <c r="AA18" t="inlineStr">
        <is>
          <t>Sim</t>
        </is>
      </c>
    </row>
    <row r="19">
      <c r="A19" t="n">
        <v>294</v>
      </c>
      <c r="B19" s="9" t="inlineStr">
        <is>
          <t>CP</t>
        </is>
      </c>
      <c r="C19" s="9" t="inlineStr">
        <is>
          <t>Art. 356</t>
        </is>
      </c>
      <c r="D19" s="10" t="inlineStr">
        <is>
          <t>https://www.planalto.gov.br/ccivil_03/decreto-lei/del2848compilado.htm</t>
        </is>
      </c>
      <c r="E19" t="inlineStr"/>
      <c r="F19" s="8" t="n"/>
      <c r="H19" s="8" t="n"/>
      <c r="J19" s="9" t="n"/>
      <c r="L19" s="9" t="n"/>
      <c r="N19" s="9" t="n"/>
      <c r="P19" s="9" t="n"/>
      <c r="R19" s="9" t="n"/>
      <c r="T19" s="9" t="n"/>
      <c r="V19" s="9" t="n"/>
      <c r="Z19" s="9" t="inlineStr">
        <is>
          <t>Sonegação de papel ou objeto de valor probatório por advogado ou procurador</t>
        </is>
      </c>
      <c r="AA19" t="inlineStr">
        <is>
          <t>Sim</t>
        </is>
      </c>
    </row>
    <row r="20">
      <c r="A20" t="n">
        <v>1353</v>
      </c>
      <c r="B20" s="9" t="inlineStr">
        <is>
          <t>CP</t>
        </is>
      </c>
      <c r="C20" s="9" t="inlineStr">
        <is>
          <t>Art. 260, §2º</t>
        </is>
      </c>
      <c r="D20" s="10" t="inlineStr">
        <is>
          <t>https://www.planalto.gov.br/ccivil_03/decreto-lei/del2848compilado.htm</t>
        </is>
      </c>
      <c r="E20" t="inlineStr"/>
      <c r="F20" s="8" t="n"/>
      <c r="H20" s="8" t="n"/>
      <c r="J20" s="9" t="n"/>
      <c r="L20" s="9" t="n"/>
      <c r="N20" s="9" t="n"/>
      <c r="P20" s="9" t="n"/>
      <c r="R20" s="9" t="n"/>
      <c r="T20" s="9" t="n"/>
      <c r="V20" s="9" t="n"/>
      <c r="Z20" s="9" t="inlineStr">
        <is>
          <t>Atentado contra transporte ferroviário — modalidade culposa com desastre</t>
        </is>
      </c>
      <c r="AA20" t="inlineStr">
        <is>
          <t>Sim</t>
        </is>
      </c>
    </row>
    <row r="21">
      <c r="A21" t="n">
        <v>211</v>
      </c>
      <c r="B21" s="9" t="inlineStr">
        <is>
          <t>CP</t>
        </is>
      </c>
      <c r="C21" s="9" t="inlineStr">
        <is>
          <t>Art. 276</t>
        </is>
      </c>
      <c r="D21" s="10" t="inlineStr">
        <is>
          <t>https://www.planalto.gov.br/ccivil_03/decreto-lei/del2848compilado.htm</t>
        </is>
      </c>
      <c r="E21" t="inlineStr"/>
      <c r="F21" s="8" t="n"/>
      <c r="H21" s="8" t="n"/>
      <c r="J21" s="9" t="n"/>
      <c r="L21" s="9" t="n"/>
      <c r="N21" s="9" t="n"/>
      <c r="P21" s="9" t="n"/>
      <c r="R21" s="9" t="n"/>
      <c r="T21" s="9" t="n"/>
      <c r="V21" s="9" t="n"/>
      <c r="Z21" s="9" t="inlineStr">
        <is>
          <t>Venda, exposição à venda ou entrega a consumo de produto em condições impróprias</t>
        </is>
      </c>
      <c r="AA21" t="inlineStr">
        <is>
          <t>Sim</t>
        </is>
      </c>
    </row>
    <row r="22">
      <c r="A22" t="n">
        <v>210</v>
      </c>
      <c r="B22" s="9" t="inlineStr">
        <is>
          <t>CP</t>
        </is>
      </c>
      <c r="C22" s="9" t="inlineStr">
        <is>
          <t>Art. 275</t>
        </is>
      </c>
      <c r="D22" s="10" t="inlineStr">
        <is>
          <t>https://www.planalto.gov.br/ccivil_03/decreto-lei/del2848compilado.htm</t>
        </is>
      </c>
      <c r="E22" t="inlineStr"/>
      <c r="F22" s="8" t="n"/>
      <c r="H22" s="8" t="n"/>
      <c r="J22" s="9" t="n"/>
      <c r="L22" s="9" t="n"/>
      <c r="N22" s="9" t="n"/>
      <c r="P22" s="9" t="n"/>
      <c r="R22" s="9" t="n"/>
      <c r="T22" s="9" t="n"/>
      <c r="V22" s="9" t="n"/>
      <c r="Z22" s="9" t="inlineStr">
        <is>
          <t>Invólucro ou recipiente com falsa indicação de substância medicinal ou terapêutica</t>
        </is>
      </c>
      <c r="AA22" t="inlineStr">
        <is>
          <t>Sim</t>
        </is>
      </c>
    </row>
    <row r="23">
      <c r="A23" t="n">
        <v>641</v>
      </c>
      <c r="B23" s="9" t="inlineStr">
        <is>
          <t>CP</t>
        </is>
      </c>
      <c r="C23" s="9" t="inlineStr">
        <is>
          <t>Art. 151, §1º, IV</t>
        </is>
      </c>
      <c r="D23" s="10" t="inlineStr">
        <is>
          <t>https://www.planalto.gov.br/ccivil_03/decreto-lei/del2848compilado.htm</t>
        </is>
      </c>
      <c r="E23" t="inlineStr"/>
      <c r="F23" s="8" t="n"/>
      <c r="H23" s="8" t="n"/>
      <c r="J23" s="9" t="n"/>
      <c r="L23" s="9" t="n"/>
      <c r="N23" s="9" t="n"/>
      <c r="P23" s="9" t="n"/>
      <c r="R23" s="9" t="n"/>
      <c r="T23" s="9" t="n"/>
      <c r="V23" s="9" t="n"/>
      <c r="Z23" s="9" t="inlineStr">
        <is>
          <t>Instalar ou utilizar estação ou aparelho radioelétrico sem autorização legal</t>
        </is>
      </c>
      <c r="AA23" t="inlineStr">
        <is>
          <t>Não</t>
        </is>
      </c>
    </row>
    <row r="24">
      <c r="A24" t="n">
        <v>14</v>
      </c>
      <c r="B24" s="9" t="inlineStr">
        <is>
          <t>CP</t>
        </is>
      </c>
      <c r="C24" s="9" t="inlineStr">
        <is>
          <t>Art. 121, §6º</t>
        </is>
      </c>
      <c r="D24" s="10" t="inlineStr">
        <is>
          <t>https://www.planalto.gov.br/ccivil_03/decreto-lei/del2848compilado.htm</t>
        </is>
      </c>
      <c r="E24" t="inlineStr"/>
      <c r="F24" s="8" t="n"/>
      <c r="H24" s="8" t="n"/>
      <c r="J24" s="9" t="n"/>
      <c r="L24" s="9" t="n"/>
      <c r="N24" s="9" t="n"/>
      <c r="P24" s="9" t="n"/>
      <c r="R24" s="9" t="n"/>
      <c r="T24" s="9" t="n"/>
      <c r="V24" s="9" t="n"/>
      <c r="Z24" s="9" t="inlineStr">
        <is>
          <t>Homicídio com aumento de 1/3 até a metade (milícia privada, sob pretexto de segurança, ou grupo de extermínio)</t>
        </is>
      </c>
      <c r="AA24" t="inlineStr">
        <is>
          <t>Sim</t>
        </is>
      </c>
    </row>
    <row r="25">
      <c r="A25" t="n">
        <v>1318</v>
      </c>
      <c r="B25" s="9" t="inlineStr">
        <is>
          <t>CP</t>
        </is>
      </c>
      <c r="C25" s="9" t="inlineStr">
        <is>
          <t>Art. 288, §2º</t>
        </is>
      </c>
      <c r="D25" s="10" t="inlineStr">
        <is>
          <t>https://www.planalto.gov.br/ccivil_03/decreto-lei/del2848compilado.htm</t>
        </is>
      </c>
      <c r="E25" t="inlineStr"/>
      <c r="F25" s="8" t="n"/>
      <c r="H25" s="8" t="n"/>
      <c r="J25" s="9" t="n"/>
      <c r="L25" s="9" t="n"/>
      <c r="N25" s="9" t="n"/>
      <c r="P25" s="9" t="n"/>
      <c r="R25" s="9" t="n"/>
      <c r="T25" s="9" t="n"/>
      <c r="V25" s="9" t="n"/>
      <c r="Z25" s="9" t="inlineStr">
        <is>
          <t>Solicitação ou contratação de crime a integrante de associação criminosa</t>
        </is>
      </c>
      <c r="AA25" t="inlineStr">
        <is>
          <t>Sim</t>
        </is>
      </c>
    </row>
    <row r="26">
      <c r="A26" t="n">
        <v>1499</v>
      </c>
      <c r="B26" s="9" t="inlineStr">
        <is>
          <t>CP</t>
        </is>
      </c>
      <c r="C26" s="9" t="inlineStr">
        <is>
          <t>Art. 129, §12, I c/c §3º</t>
        </is>
      </c>
      <c r="D26" s="10" t="inlineStr">
        <is>
          <t>https://www.planalto.gov.br/ccivil_03/decreto-lei/del2848compilado.htm</t>
        </is>
      </c>
      <c r="E26" t="inlineStr"/>
      <c r="F26" s="8" t="n"/>
      <c r="H26" s="8" t="n"/>
      <c r="J26" s="9" t="n"/>
      <c r="L26" s="9" t="n"/>
      <c r="N26" s="9" t="n"/>
      <c r="P26" s="9" t="n"/>
      <c r="R26" s="9" t="n"/>
      <c r="T26" s="9" t="n"/>
      <c r="V26" s="9" t="n"/>
      <c r="Z26" s="9" t="inlineStr">
        <is>
          <t>Lesão dolosa contra autoridade, agente público ou em instituição de ensino — lesão corporal seguida de morte</t>
        </is>
      </c>
      <c r="AA26" t="inlineStr">
        <is>
          <t>Sim</t>
        </is>
      </c>
    </row>
    <row r="27">
      <c r="A27" t="n">
        <v>612</v>
      </c>
      <c r="B27" s="9" t="inlineStr">
        <is>
          <t>CP</t>
        </is>
      </c>
      <c r="C27" s="9" t="inlineStr">
        <is>
          <t>Art. 218-B, §2º, I</t>
        </is>
      </c>
      <c r="D27" s="10" t="inlineStr">
        <is>
          <t>https://www.planalto.gov.br/ccivil_03/decreto-lei/del2848compilado.htm</t>
        </is>
      </c>
      <c r="E27" t="inlineStr"/>
      <c r="F27" s="8" t="n"/>
      <c r="H27" s="8" t="n"/>
      <c r="J27" s="9" t="n"/>
      <c r="L27" s="9" t="n"/>
      <c r="N27" s="9" t="n"/>
      <c r="P27" s="9" t="n"/>
      <c r="R27" s="9" t="n"/>
      <c r="T27" s="9" t="n"/>
      <c r="V27" s="9" t="n"/>
      <c r="Z27" s="9" t="inlineStr">
        <is>
          <t>Favorecimento da prostituição de vulnerável — quem pratica conjunção carnal ou ato libidinoso com menor de 18 em situação de exploração</t>
        </is>
      </c>
      <c r="AA27" t="inlineStr">
        <is>
          <t>Sim</t>
        </is>
      </c>
    </row>
    <row r="28">
      <c r="A28" t="n">
        <v>25</v>
      </c>
      <c r="B28" s="9" t="inlineStr">
        <is>
          <t>CP</t>
        </is>
      </c>
      <c r="C28" s="9" t="inlineStr">
        <is>
          <t>Art. 122, §5º</t>
        </is>
      </c>
      <c r="D28" s="10" t="inlineStr">
        <is>
          <t>https://www.planalto.gov.br/ccivil_03/decreto-lei/del2848compilado.htm</t>
        </is>
      </c>
      <c r="E28" t="inlineStr"/>
      <c r="F28" s="8" t="n"/>
      <c r="H28" s="8" t="n"/>
      <c r="J28" s="9" t="n"/>
      <c r="L28" s="9" t="n"/>
      <c r="N28" s="9" t="n"/>
      <c r="P28" s="9" t="n"/>
      <c r="R28" s="9" t="n"/>
      <c r="T28" s="9" t="n"/>
      <c r="V28" s="9" t="n"/>
      <c r="Z28" s="9" t="inlineStr">
        <is>
          <t>Induzimento a suicídio como líder/coordenador de grupo (aumento até o dobro)</t>
        </is>
      </c>
      <c r="AA28" t="inlineStr">
        <is>
          <t>Sim</t>
        </is>
      </c>
    </row>
    <row r="29">
      <c r="A29" t="n">
        <v>1490</v>
      </c>
      <c r="B29" s="9" t="inlineStr">
        <is>
          <t>CP</t>
        </is>
      </c>
      <c r="C29" s="9" t="inlineStr">
        <is>
          <t>Art. 158, §2º c/c art. 157, §3º (morte)</t>
        </is>
      </c>
      <c r="D29" s="10" t="inlineStr">
        <is>
          <t>https://www.planalto.gov.br/ccivil_03/decreto-lei/del2848compilado.htm</t>
        </is>
      </c>
      <c r="E29" t="inlineStr"/>
      <c r="F29" s="8" t="n"/>
      <c r="H29" s="8" t="n"/>
      <c r="J29" s="9" t="n"/>
      <c r="L29" s="9" t="n"/>
      <c r="N29" s="9" t="n"/>
      <c r="P29" s="9" t="n"/>
      <c r="R29" s="9" t="n"/>
      <c r="T29" s="9" t="n"/>
      <c r="V29" s="9" t="n"/>
      <c r="Z29" s="9" t="inlineStr">
        <is>
          <t>Extorsão qualificada pelo resultado morte</t>
        </is>
      </c>
      <c r="AA29" t="inlineStr">
        <is>
          <t>Sim</t>
        </is>
      </c>
    </row>
    <row r="30">
      <c r="A30" t="n">
        <v>734</v>
      </c>
      <c r="B30" s="9" t="inlineStr">
        <is>
          <t>CP</t>
        </is>
      </c>
      <c r="C30" s="9" t="inlineStr">
        <is>
          <t>Art. 146, §1º</t>
        </is>
      </c>
      <c r="D30" s="10" t="inlineStr">
        <is>
          <t>https://www.planalto.gov.br/ccivil_03/decreto-lei/del2848compilado.htm</t>
        </is>
      </c>
      <c r="E30" t="inlineStr"/>
      <c r="F30" s="8" t="n"/>
      <c r="H30" s="8" t="n"/>
      <c r="J30" s="9" t="n"/>
      <c r="L30" s="9" t="n"/>
      <c r="N30" s="9" t="n"/>
      <c r="P30" s="9" t="n"/>
      <c r="R30" s="9" t="n"/>
      <c r="T30" s="9" t="n"/>
      <c r="V30" s="9" t="n"/>
      <c r="Z30" s="9" t="inlineStr">
        <is>
          <t>Constrangimento ilegal com aumento — concurso de mais de 3 pessoas ou com emprego de armas</t>
        </is>
      </c>
      <c r="AA30" t="inlineStr">
        <is>
          <t>Sim</t>
        </is>
      </c>
    </row>
    <row r="31">
      <c r="A31" t="n">
        <v>77</v>
      </c>
      <c r="B31" s="9" t="inlineStr">
        <is>
          <t>CP</t>
        </is>
      </c>
      <c r="C31" s="9" t="inlineStr">
        <is>
          <t>Art. 151, §1º, I</t>
        </is>
      </c>
      <c r="D31" s="10" t="inlineStr">
        <is>
          <t>https://www.planalto.gov.br/ccivil_03/decreto-lei/del2848compilado.htm</t>
        </is>
      </c>
      <c r="E31" t="inlineStr"/>
      <c r="F31" s="8" t="n"/>
      <c r="H31" s="8" t="n"/>
      <c r="J31" s="9" t="n"/>
      <c r="L31" s="9" t="n"/>
      <c r="N31" s="9" t="n"/>
      <c r="P31" s="9" t="n"/>
      <c r="R31" s="9" t="n"/>
      <c r="T31" s="9" t="n"/>
      <c r="V31" s="9" t="n"/>
      <c r="Z31" s="9" t="inlineStr">
        <is>
          <t>Sonegação ou destruição de correspondência</t>
        </is>
      </c>
      <c r="AA31" t="inlineStr">
        <is>
          <t>Não</t>
        </is>
      </c>
    </row>
    <row r="32">
      <c r="A32" t="n">
        <v>592</v>
      </c>
      <c r="B32" s="9" t="inlineStr">
        <is>
          <t>CP</t>
        </is>
      </c>
      <c r="C32" s="9" t="inlineStr">
        <is>
          <t>Art. 171, §2º, IV</t>
        </is>
      </c>
      <c r="D32" s="10" t="inlineStr">
        <is>
          <t>https://www.planalto.gov.br/ccivil_03/decreto-lei/del2848compilado.htm</t>
        </is>
      </c>
      <c r="E32" t="inlineStr"/>
      <c r="F32" s="8" t="n"/>
      <c r="H32" s="8" t="n"/>
      <c r="J32" s="9" t="n"/>
      <c r="L32" s="9" t="n"/>
      <c r="N32" s="9" t="n"/>
      <c r="P32" s="9" t="n"/>
      <c r="R32" s="9" t="n"/>
      <c r="T32" s="9" t="n"/>
      <c r="V32" s="9" t="n"/>
      <c r="Z32" s="9" t="inlineStr">
        <is>
          <t>Estelionato — fraude na entrega de coisa</t>
        </is>
      </c>
      <c r="AA32" t="inlineStr">
        <is>
          <t>Sim</t>
        </is>
      </c>
    </row>
    <row r="33">
      <c r="A33" t="n">
        <v>729</v>
      </c>
      <c r="B33" s="9" t="inlineStr">
        <is>
          <t>CP</t>
        </is>
      </c>
      <c r="C33" s="9" t="inlineStr">
        <is>
          <t>Art. 299, §único</t>
        </is>
      </c>
      <c r="D33" s="10" t="inlineStr">
        <is>
          <t>https://www.planalto.gov.br/ccivil_03/decreto-lei/del2848compilado.htm</t>
        </is>
      </c>
      <c r="E33" t="inlineStr"/>
      <c r="F33" s="8" t="n"/>
      <c r="H33" s="8" t="n"/>
      <c r="J33" s="9" t="n"/>
      <c r="L33" s="9" t="n"/>
      <c r="N33" s="9" t="n"/>
      <c r="P33" s="9" t="n"/>
      <c r="R33" s="9" t="n"/>
      <c r="T33" s="9" t="n"/>
      <c r="V33" s="9" t="n"/>
      <c r="Z33" s="9" t="inlineStr">
        <is>
          <t>Falsidade ideológica — agente funcionário público prevalecendo-se do cargo, ou falsificação de registro civil</t>
        </is>
      </c>
      <c r="AA33" t="inlineStr">
        <is>
          <t>Sim</t>
        </is>
      </c>
    </row>
    <row r="34">
      <c r="A34" t="n">
        <v>820</v>
      </c>
      <c r="B34" s="9" t="inlineStr">
        <is>
          <t>CP</t>
        </is>
      </c>
      <c r="C34" s="9" t="inlineStr">
        <is>
          <t>Art. 171, §2º, VII</t>
        </is>
      </c>
      <c r="D34" s="10" t="inlineStr">
        <is>
          <t>https://www.planalto.gov.br/ccivil_03/decreto-lei/del2848compilado.htm</t>
        </is>
      </c>
      <c r="E34" t="inlineStr"/>
      <c r="F34" s="8" t="n"/>
      <c r="H34" s="8" t="n"/>
      <c r="J34" s="9" t="n"/>
      <c r="L34" s="9" t="n"/>
      <c r="N34" s="9" t="n"/>
      <c r="P34" s="9" t="n"/>
      <c r="R34" s="9" t="n"/>
      <c r="T34" s="9" t="n"/>
      <c r="V34" s="9" t="n"/>
      <c r="Z34" s="9" t="inlineStr">
        <is>
          <t>Estelionato — cessão de conta bancária a atividade criminosa</t>
        </is>
      </c>
      <c r="AA34" t="inlineStr">
        <is>
          <t>Sim</t>
        </is>
      </c>
    </row>
    <row r="35">
      <c r="A35" t="n">
        <v>12</v>
      </c>
      <c r="B35" s="9" t="inlineStr">
        <is>
          <t>CP</t>
        </is>
      </c>
      <c r="C35" s="9" t="inlineStr">
        <is>
          <t>Art. 121, §4º, 1ª parte</t>
        </is>
      </c>
      <c r="D35" s="10" t="inlineStr">
        <is>
          <t>https://www.planalto.gov.br/ccivil_03/decreto-lei/del2848compilado.htm</t>
        </is>
      </c>
      <c r="E35" t="inlineStr"/>
      <c r="F35" s="8" t="n"/>
      <c r="H35" s="8" t="n"/>
      <c r="J35" s="9" t="n"/>
      <c r="L35" s="9" t="n"/>
      <c r="N35" s="9" t="n"/>
      <c r="P35" s="9" t="n"/>
      <c r="R35" s="9" t="n"/>
      <c r="T35" s="9" t="n"/>
      <c r="V35" s="9" t="n"/>
      <c r="Z35" s="9" t="inlineStr">
        <is>
          <t>Homicídio culposo com aumento de 1/3 (inobservância de regra técnica)</t>
        </is>
      </c>
      <c r="AA35" t="inlineStr">
        <is>
          <t>Sim</t>
        </is>
      </c>
    </row>
    <row r="36">
      <c r="A36" s="5" t="n">
        <v>706</v>
      </c>
      <c r="B36" s="6" t="inlineStr">
        <is>
          <t>CPM (DL 1.001/69)</t>
        </is>
      </c>
      <c r="C36" s="6" t="inlineStr">
        <is>
          <t>Art. 291, caput</t>
        </is>
      </c>
      <c r="D36" s="7" t="inlineStr">
        <is>
          <t>https://www.planalto.gov.br/ccivil_03/decreto-lei/del1001compilado.htm</t>
        </is>
      </c>
      <c r="E36" s="5" t="inlineStr">
        <is>
          <t>sim</t>
        </is>
      </c>
      <c r="F36" s="8" t="n"/>
      <c r="H36" s="8" t="n"/>
      <c r="J36" s="9" t="n"/>
      <c r="L36" s="9" t="n"/>
      <c r="N36" s="9" t="n"/>
      <c r="P36" s="9" t="n"/>
      <c r="R36" s="9" t="n"/>
      <c r="T36" s="9" t="n"/>
      <c r="V36" s="9" t="n"/>
      <c r="Z36" s="9" t="inlineStr">
        <is>
          <t>Receita ilegal</t>
        </is>
      </c>
      <c r="AA36" t="inlineStr">
        <is>
          <t>Sim</t>
        </is>
      </c>
    </row>
    <row r="37">
      <c r="A37" s="5" t="n">
        <v>1196</v>
      </c>
      <c r="B37" s="6" t="inlineStr">
        <is>
          <t>CPM (DL 1.001/69)</t>
        </is>
      </c>
      <c r="C37" s="6" t="inlineStr">
        <is>
          <t>Art. 326, caput</t>
        </is>
      </c>
      <c r="D37" s="7" t="inlineStr">
        <is>
          <t>https://www.planalto.gov.br/ccivil_03/decreto-lei/del1001compilado.htm</t>
        </is>
      </c>
      <c r="E37" s="5" t="inlineStr">
        <is>
          <t>sim</t>
        </is>
      </c>
      <c r="F37" s="8" t="n"/>
      <c r="H37" s="8" t="n"/>
      <c r="J37" s="9" t="n"/>
      <c r="L37" s="9" t="n"/>
      <c r="N37" s="9" t="n"/>
      <c r="P37" s="9" t="n"/>
      <c r="R37" s="9" t="n"/>
      <c r="T37" s="9" t="n"/>
      <c r="V37" s="9" t="n"/>
      <c r="Z37" s="9" t="inlineStr">
        <is>
          <t>Violação de sigilo funcional</t>
        </is>
      </c>
      <c r="AA37" t="inlineStr">
        <is>
          <t>Sim</t>
        </is>
      </c>
    </row>
    <row r="38">
      <c r="A38" s="5" t="n">
        <v>1108</v>
      </c>
      <c r="B38" s="6" t="inlineStr">
        <is>
          <t>CPM (DL 1.001/69)</t>
        </is>
      </c>
      <c r="C38" s="6" t="inlineStr">
        <is>
          <t>Art. 235, caput</t>
        </is>
      </c>
      <c r="D38" s="7" t="inlineStr">
        <is>
          <t>https://www.planalto.gov.br/ccivil_03/decreto-lei/del1001compilado.htm</t>
        </is>
      </c>
      <c r="E38" s="5" t="inlineStr">
        <is>
          <t>sim</t>
        </is>
      </c>
      <c r="F38" s="8" t="n"/>
      <c r="H38" s="8" t="n"/>
      <c r="J38" s="9" t="n"/>
      <c r="L38" s="9" t="n"/>
      <c r="N38" s="9" t="n"/>
      <c r="P38" s="9" t="n"/>
      <c r="R38" s="9" t="n"/>
      <c r="T38" s="9" t="n"/>
      <c r="V38" s="9" t="n"/>
      <c r="Z38" s="9" t="inlineStr">
        <is>
          <t>Ato de libidinagem</t>
        </is>
      </c>
      <c r="AA38" t="inlineStr">
        <is>
          <t>Sim</t>
        </is>
      </c>
    </row>
    <row r="39">
      <c r="A39" s="5" t="n">
        <v>1050</v>
      </c>
      <c r="B39" s="6" t="inlineStr">
        <is>
          <t>CPM (DL 1.001/69)</t>
        </is>
      </c>
      <c r="C39" s="6" t="inlineStr">
        <is>
          <t>Art. 172, caput</t>
        </is>
      </c>
      <c r="D39" s="7" t="inlineStr">
        <is>
          <t>https://www.planalto.gov.br/ccivil_03/decreto-lei/del1001compilado.htm</t>
        </is>
      </c>
      <c r="E39" s="5" t="inlineStr">
        <is>
          <t>sim</t>
        </is>
      </c>
      <c r="F39" s="8" t="n"/>
      <c r="H39" s="8" t="n"/>
      <c r="J39" s="9" t="n"/>
      <c r="L39" s="9" t="n"/>
      <c r="N39" s="9" t="n"/>
      <c r="P39" s="9" t="n"/>
      <c r="R39" s="9" t="n"/>
      <c r="T39" s="9" t="n"/>
      <c r="V39" s="9" t="n"/>
      <c r="Z39" s="9" t="inlineStr">
        <is>
          <t>Uso indevido de uniforme, distintivo ou insígnia militar por qualquer pessoa</t>
        </is>
      </c>
      <c r="AA39" t="inlineStr">
        <is>
          <t>Sim</t>
        </is>
      </c>
    </row>
    <row r="40">
      <c r="A40" t="n">
        <v>1383</v>
      </c>
      <c r="B40" s="9" t="inlineStr">
        <is>
          <t>CPM (DL 1.001/69)</t>
        </is>
      </c>
      <c r="C40" s="9" t="inlineStr">
        <is>
          <t>Art. 182, caput (aos cabeças)</t>
        </is>
      </c>
      <c r="D40" s="10" t="inlineStr">
        <is>
          <t>https://www.planalto.gov.br/ccivil_03/decreto-lei/del1001compilado.htm</t>
        </is>
      </c>
      <c r="E40" t="inlineStr"/>
      <c r="F40" s="8" t="n"/>
      <c r="H40" s="8" t="n"/>
      <c r="J40" s="9" t="n"/>
      <c r="L40" s="9" t="n"/>
      <c r="N40" s="9" t="n"/>
      <c r="P40" s="9" t="n"/>
      <c r="R40" s="9" t="n"/>
      <c r="T40" s="9" t="n"/>
      <c r="V40" s="9" t="n"/>
      <c r="Z40" s="9" t="inlineStr">
        <is>
          <t>Amotinamento (cabeça)</t>
        </is>
      </c>
      <c r="AA40" t="inlineStr">
        <is>
          <t>Sim</t>
        </is>
      </c>
    </row>
    <row r="41">
      <c r="A41" t="n">
        <v>1026</v>
      </c>
      <c r="B41" s="9" t="inlineStr">
        <is>
          <t>CPM (DL 1.001/69)</t>
        </is>
      </c>
      <c r="C41" s="9" t="inlineStr">
        <is>
          <t>Art. 145, §1º</t>
        </is>
      </c>
      <c r="D41" s="10" t="inlineStr">
        <is>
          <t>https://www.planalto.gov.br/ccivil_03/decreto-lei/del1001compilado.htm</t>
        </is>
      </c>
      <c r="E41" t="inlineStr"/>
      <c r="F41" s="8" t="n"/>
      <c r="H41" s="8" t="n"/>
      <c r="J41" s="9" t="n"/>
      <c r="L41" s="9" t="n"/>
      <c r="N41" s="9" t="n"/>
      <c r="P41" s="9" t="n"/>
      <c r="R41" s="9" t="n"/>
      <c r="T41" s="9" t="n"/>
      <c r="V41" s="9" t="n"/>
      <c r="Z41" s="9" t="inlineStr">
        <is>
          <t>Turbação de objeto ou documento — comprometimento da segurança ou eficiência bélica</t>
        </is>
      </c>
      <c r="AA41" t="inlineStr">
        <is>
          <t>Sim</t>
        </is>
      </c>
    </row>
    <row r="42">
      <c r="A42" t="n">
        <v>1084</v>
      </c>
      <c r="B42" s="9" t="inlineStr">
        <is>
          <t>CPM (DL 1.001/69)</t>
        </is>
      </c>
      <c r="C42" s="9" t="inlineStr">
        <is>
          <t>Art. 210, caput</t>
        </is>
      </c>
      <c r="D42" s="10" t="inlineStr">
        <is>
          <t>https://www.planalto.gov.br/ccivil_03/decreto-lei/del1001compilado.htm</t>
        </is>
      </c>
      <c r="E42" t="inlineStr"/>
      <c r="F42" s="8" t="n"/>
      <c r="H42" s="8" t="n"/>
      <c r="J42" s="9" t="n"/>
      <c r="L42" s="9" t="n"/>
      <c r="N42" s="9" t="n"/>
      <c r="P42" s="9" t="n"/>
      <c r="R42" s="9" t="n"/>
      <c r="T42" s="9" t="n"/>
      <c r="V42" s="9" t="n"/>
      <c r="Z42" s="9" t="inlineStr">
        <is>
          <t>Lesão culposa</t>
        </is>
      </c>
      <c r="AA42" t="inlineStr">
        <is>
          <t>Sim</t>
        </is>
      </c>
    </row>
    <row r="43">
      <c r="A43" t="n">
        <v>1033</v>
      </c>
      <c r="B43" s="9" t="inlineStr">
        <is>
          <t>CPM (DL 1.001/69)</t>
        </is>
      </c>
      <c r="C43" s="9" t="inlineStr">
        <is>
          <t>Art. 151, caput</t>
        </is>
      </c>
      <c r="D43" s="10" t="inlineStr">
        <is>
          <t>https://www.planalto.gov.br/ccivil_03/decreto-lei/del1001compilado.htm</t>
        </is>
      </c>
      <c r="E43" t="inlineStr"/>
      <c r="F43" s="8" t="n"/>
      <c r="H43" s="8" t="n"/>
      <c r="J43" s="9" t="n"/>
      <c r="L43" s="9" t="n"/>
      <c r="N43" s="9" t="n"/>
      <c r="P43" s="9" t="n"/>
      <c r="R43" s="9" t="n"/>
      <c r="T43" s="9" t="n"/>
      <c r="V43" s="9" t="n"/>
      <c r="Z43" s="9" t="inlineStr">
        <is>
          <t>Omissão de lealdade militar</t>
        </is>
      </c>
      <c r="AA43" t="inlineStr">
        <is>
          <t>Sim</t>
        </is>
      </c>
    </row>
    <row r="44">
      <c r="A44" t="n">
        <v>1182</v>
      </c>
      <c r="B44" s="9" t="inlineStr">
        <is>
          <t>CPM (DL 1.001/69)</t>
        </is>
      </c>
      <c r="C44" s="9" t="inlineStr">
        <is>
          <t>Art. 310, caput</t>
        </is>
      </c>
      <c r="D44" s="10" t="inlineStr">
        <is>
          <t>https://www.planalto.gov.br/ccivil_03/decreto-lei/del1001compilado.htm</t>
        </is>
      </c>
      <c r="E44" t="inlineStr"/>
      <c r="F44" s="8" t="n"/>
      <c r="H44" s="8" t="n"/>
      <c r="J44" s="9" t="n"/>
      <c r="L44" s="9" t="n"/>
      <c r="N44" s="9" t="n"/>
      <c r="P44" s="9" t="n"/>
      <c r="R44" s="9" t="n"/>
      <c r="T44" s="9" t="n"/>
      <c r="V44" s="9" t="n"/>
      <c r="Z44" s="9" t="inlineStr">
        <is>
          <t>Participação ilícita</t>
        </is>
      </c>
      <c r="AA44" t="inlineStr">
        <is>
          <t>Sim</t>
        </is>
      </c>
    </row>
    <row r="45">
      <c r="A45" t="n">
        <v>1273</v>
      </c>
      <c r="B45" s="9" t="inlineStr">
        <is>
          <t>CPM (DL 1.001/69)</t>
        </is>
      </c>
      <c r="C45" s="9" t="inlineStr">
        <is>
          <t>Art. 393, caput</t>
        </is>
      </c>
      <c r="D45" s="10" t="inlineStr">
        <is>
          <t>https://www.planalto.gov.br/ccivil_03/decreto-lei/del1001compilado.htm</t>
        </is>
      </c>
      <c r="E45" t="inlineStr"/>
      <c r="F45" s="8" t="n"/>
      <c r="H45" s="8" t="n"/>
      <c r="J45" s="9" t="n"/>
      <c r="L45" s="9" t="n"/>
      <c r="N45" s="9" t="n"/>
      <c r="P45" s="9" t="n"/>
      <c r="R45" s="9" t="n"/>
      <c r="T45" s="9" t="n"/>
      <c r="V45" s="9" t="n"/>
      <c r="Z45" s="9" t="inlineStr">
        <is>
          <t>Falta de apresentação</t>
        </is>
      </c>
      <c r="AA45" t="inlineStr">
        <is>
          <t>Sim</t>
        </is>
      </c>
    </row>
    <row r="46">
      <c r="A46" t="n">
        <v>702</v>
      </c>
      <c r="B46" s="9" t="inlineStr">
        <is>
          <t>CPM (DL 1.001/69)</t>
        </is>
      </c>
      <c r="C46" s="9" t="inlineStr">
        <is>
          <t>Art. 248, caput</t>
        </is>
      </c>
      <c r="D46" s="10" t="inlineStr">
        <is>
          <t>https://www.planalto.gov.br/ccivil_03/decreto-lei/del1001compilado.htm</t>
        </is>
      </c>
      <c r="E46" t="inlineStr"/>
      <c r="F46" s="8" t="n"/>
      <c r="H46" s="8" t="n"/>
      <c r="J46" s="9" t="n"/>
      <c r="L46" s="9" t="n"/>
      <c r="N46" s="9" t="n"/>
      <c r="P46" s="9" t="n"/>
      <c r="R46" s="9" t="n"/>
      <c r="T46" s="9" t="n"/>
      <c r="V46" s="9" t="n"/>
      <c r="Z46" s="9" t="inlineStr">
        <is>
          <t>Apropriação indébita simples</t>
        </is>
      </c>
      <c r="AA46" t="inlineStr">
        <is>
          <t>Sim</t>
        </is>
      </c>
    </row>
    <row r="47">
      <c r="A47" t="n">
        <v>1121</v>
      </c>
      <c r="B47" s="9" t="inlineStr">
        <is>
          <t>CPM (DL 1.001/69)</t>
        </is>
      </c>
      <c r="C47" s="9" t="inlineStr">
        <is>
          <t>Art. 254, caput</t>
        </is>
      </c>
      <c r="D47" s="10" t="inlineStr">
        <is>
          <t>https://www.planalto.gov.br/ccivil_03/decreto-lei/del1001compilado.htm</t>
        </is>
      </c>
      <c r="E47" t="inlineStr"/>
      <c r="F47" s="8" t="n"/>
      <c r="H47" s="8" t="n"/>
      <c r="J47" s="9" t="n"/>
      <c r="L47" s="9" t="n"/>
      <c r="N47" s="9" t="n"/>
      <c r="P47" s="9" t="n"/>
      <c r="R47" s="9" t="n"/>
      <c r="T47" s="9" t="n"/>
      <c r="V47" s="9" t="n"/>
      <c r="Z47" s="9" t="inlineStr">
        <is>
          <t>Receptação</t>
        </is>
      </c>
      <c r="AA47" t="inlineStr">
        <is>
          <t>Sim</t>
        </is>
      </c>
    </row>
    <row r="48">
      <c r="A48" t="n">
        <v>710</v>
      </c>
      <c r="B48" s="9" t="inlineStr">
        <is>
          <t>CPM (DL 1.001/69)</t>
        </is>
      </c>
      <c r="C48" s="9" t="inlineStr">
        <is>
          <t>Art. 309, caput</t>
        </is>
      </c>
      <c r="D48" s="10" t="inlineStr">
        <is>
          <t>https://www.planalto.gov.br/ccivil_03/decreto-lei/del1001compilado.htm</t>
        </is>
      </c>
      <c r="E48" t="inlineStr"/>
      <c r="F48" s="8" t="n"/>
      <c r="H48" s="8" t="n"/>
      <c r="J48" s="9" t="n"/>
      <c r="L48" s="9" t="n"/>
      <c r="N48" s="9" t="n"/>
      <c r="P48" s="9" t="n"/>
      <c r="R48" s="9" t="n"/>
      <c r="T48" s="9" t="n"/>
      <c r="V48" s="9" t="n"/>
      <c r="Z48" s="9" t="inlineStr">
        <is>
          <t>Corrupção ativa</t>
        </is>
      </c>
      <c r="AA48" t="inlineStr">
        <is>
          <t>Sim</t>
        </is>
      </c>
    </row>
    <row r="49">
      <c r="A49" t="n">
        <v>707</v>
      </c>
      <c r="B49" s="9" t="inlineStr">
        <is>
          <t>CPM (DL 1.001/69)</t>
        </is>
      </c>
      <c r="C49" s="9" t="inlineStr">
        <is>
          <t>Art. 298, caput</t>
        </is>
      </c>
      <c r="D49" s="10" t="inlineStr">
        <is>
          <t>https://www.planalto.gov.br/ccivil_03/decreto-lei/del1001compilado.htm</t>
        </is>
      </c>
      <c r="E49" t="inlineStr"/>
      <c r="F49" s="8" t="n"/>
      <c r="H49" s="8" t="n"/>
      <c r="J49" s="9" t="n"/>
      <c r="L49" s="9" t="n"/>
      <c r="N49" s="9" t="n"/>
      <c r="P49" s="9" t="n"/>
      <c r="R49" s="9" t="n"/>
      <c r="T49" s="9" t="n"/>
      <c r="V49" s="9" t="n"/>
      <c r="Z49" s="9" t="inlineStr">
        <is>
          <t>Desacato a superior</t>
        </is>
      </c>
      <c r="AA49" t="inlineStr">
        <is>
          <t>Sim</t>
        </is>
      </c>
    </row>
    <row r="50">
      <c r="A50" t="n">
        <v>1269</v>
      </c>
      <c r="B50" s="9" t="inlineStr">
        <is>
          <t>CPM (DL 1.001/69)</t>
        </is>
      </c>
      <c r="C50" s="9" t="inlineStr">
        <is>
          <t>Art. 389, par. único</t>
        </is>
      </c>
      <c r="D50" s="10" t="inlineStr">
        <is>
          <t>https://www.planalto.gov.br/ccivil_03/decreto-lei/del1001compilado.htm</t>
        </is>
      </c>
      <c r="E50" t="inlineStr"/>
      <c r="F50" s="8" t="n"/>
      <c r="H50" s="8" t="n"/>
      <c r="J50" s="9" t="n"/>
      <c r="L50" s="9" t="n"/>
      <c r="N50" s="9" t="n"/>
      <c r="P50" s="9" t="n"/>
      <c r="R50" s="9" t="n"/>
      <c r="T50" s="9" t="n"/>
      <c r="V50" s="9" t="n"/>
      <c r="Z50" s="9" t="inlineStr">
        <is>
          <t>Violência contra superior ou militar de serviço — com arma, em presença do inimigo</t>
        </is>
      </c>
      <c r="AA50" t="inlineStr">
        <is>
          <t>Sim</t>
        </is>
      </c>
    </row>
    <row r="51">
      <c r="A51" t="n">
        <v>1070</v>
      </c>
      <c r="B51" s="9" t="inlineStr">
        <is>
          <t>CPM (DL 1.001/69)</t>
        </is>
      </c>
      <c r="C51" s="9" t="inlineStr">
        <is>
          <t>Art. 191, caput</t>
        </is>
      </c>
      <c r="D51" s="10" t="inlineStr">
        <is>
          <t>https://www.planalto.gov.br/ccivil_03/decreto-lei/del1001compilado.htm</t>
        </is>
      </c>
      <c r="E51" t="inlineStr"/>
      <c r="F51" s="8" t="n"/>
      <c r="H51" s="8" t="n"/>
      <c r="J51" s="9" t="n"/>
      <c r="L51" s="9" t="n"/>
      <c r="N51" s="9" t="n"/>
      <c r="P51" s="9" t="n"/>
      <c r="R51" s="9" t="n"/>
      <c r="T51" s="9" t="n"/>
      <c r="V51" s="9" t="n"/>
      <c r="Z51" s="9" t="inlineStr">
        <is>
          <t>Concêrto para deserção</t>
        </is>
      </c>
      <c r="AA51" t="inlineStr">
        <is>
          <t>Sim</t>
        </is>
      </c>
    </row>
    <row r="52">
      <c r="A52" t="n">
        <v>1217</v>
      </c>
      <c r="B52" s="9" t="inlineStr">
        <is>
          <t>CPM (DL 1.001/69)</t>
        </is>
      </c>
      <c r="C52" s="9" t="inlineStr">
        <is>
          <t>Art. 341, caput</t>
        </is>
      </c>
      <c r="D52" s="10" t="inlineStr">
        <is>
          <t>https://www.planalto.gov.br/ccivil_03/decreto-lei/del1001compilado.htm</t>
        </is>
      </c>
      <c r="E52" t="inlineStr"/>
      <c r="F52" s="8" t="n"/>
      <c r="H52" s="8" t="n"/>
      <c r="J52" s="9" t="n"/>
      <c r="L52" s="9" t="n"/>
      <c r="N52" s="9" t="n"/>
      <c r="P52" s="9" t="n"/>
      <c r="R52" s="9" t="n"/>
      <c r="T52" s="9" t="n"/>
      <c r="V52" s="9" t="n"/>
      <c r="Z52" s="9" t="inlineStr">
        <is>
          <t>Desacato a autoridade judiciária militar</t>
        </is>
      </c>
      <c r="AA52" t="inlineStr">
        <is>
          <t>Sim</t>
        </is>
      </c>
    </row>
    <row r="53">
      <c r="A53" t="n">
        <v>1037</v>
      </c>
      <c r="B53" s="9" t="inlineStr">
        <is>
          <t>CPM (DL 1.001/69)</t>
        </is>
      </c>
      <c r="C53" s="9" t="inlineStr">
        <is>
          <t>Art. 157, §1º</t>
        </is>
      </c>
      <c r="D53" s="10" t="inlineStr">
        <is>
          <t>https://www.planalto.gov.br/ccivil_03/decreto-lei/del1001compilado.htm</t>
        </is>
      </c>
      <c r="E53" t="inlineStr"/>
      <c r="F53" s="8" t="n"/>
      <c r="H53" s="8" t="n"/>
      <c r="J53" s="9" t="n"/>
      <c r="L53" s="9" t="n"/>
      <c r="N53" s="9" t="n"/>
      <c r="P53" s="9" t="n"/>
      <c r="R53" s="9" t="n"/>
      <c r="T53" s="9" t="n"/>
      <c r="V53" s="9" t="n"/>
      <c r="Z53" s="9" t="inlineStr">
        <is>
          <t>Violência contra superior — comandante da unidade ou oficial general</t>
        </is>
      </c>
      <c r="AA53" t="inlineStr">
        <is>
          <t>Sim</t>
        </is>
      </c>
    </row>
    <row r="54">
      <c r="A54" t="n">
        <v>1186</v>
      </c>
      <c r="B54" s="9" t="inlineStr">
        <is>
          <t>CPM (DL 1.001/69)</t>
        </is>
      </c>
      <c r="C54" s="9" t="inlineStr">
        <is>
          <t>Art. 316, caput</t>
        </is>
      </c>
      <c r="D54" s="10" t="inlineStr">
        <is>
          <t>https://www.planalto.gov.br/ccivil_03/decreto-lei/del1001compilado.htm</t>
        </is>
      </c>
      <c r="E54" t="inlineStr"/>
      <c r="F54" s="8" t="n"/>
      <c r="H54" s="8" t="n"/>
      <c r="J54" s="9" t="n"/>
      <c r="L54" s="9" t="n"/>
      <c r="N54" s="9" t="n"/>
      <c r="P54" s="9" t="n"/>
      <c r="R54" s="9" t="n"/>
      <c r="T54" s="9" t="n"/>
      <c r="V54" s="9" t="n"/>
      <c r="Z54" s="9" t="inlineStr">
        <is>
          <t>Supressão de documento — documento público</t>
        </is>
      </c>
      <c r="AA54" t="inlineStr">
        <is>
          <t>Sim</t>
        </is>
      </c>
    </row>
    <row r="55">
      <c r="A55" t="n">
        <v>675</v>
      </c>
      <c r="B55" s="9" t="inlineStr">
        <is>
          <t>CPM (DL 1.001/69)</t>
        </is>
      </c>
      <c r="C55" s="9" t="inlineStr">
        <is>
          <t>Art. 136, caput</t>
        </is>
      </c>
      <c r="D55" s="10" t="inlineStr">
        <is>
          <t>https://www.planalto.gov.br/ccivil_03/decreto-lei/del1001compilado.htm</t>
        </is>
      </c>
      <c r="E55" t="inlineStr"/>
      <c r="F55" s="8" t="n"/>
      <c r="H55" s="8" t="n"/>
      <c r="J55" s="9" t="n"/>
      <c r="L55" s="9" t="n"/>
      <c r="N55" s="9" t="n"/>
      <c r="P55" s="9" t="n"/>
      <c r="R55" s="9" t="n"/>
      <c r="T55" s="9" t="n"/>
      <c r="V55" s="9" t="n"/>
      <c r="Z55" s="9" t="inlineStr">
        <is>
          <t>Hostilidade contra país estrangeiro</t>
        </is>
      </c>
      <c r="AA55" t="inlineStr">
        <is>
          <t>Sim</t>
        </is>
      </c>
    </row>
    <row r="56">
      <c r="A56" s="5" t="n">
        <v>1437</v>
      </c>
      <c r="B56" s="6" t="inlineStr">
        <is>
          <t>CPM (DL 1.001/69)</t>
        </is>
      </c>
      <c r="C56" s="6" t="inlineStr">
        <is>
          <t>Art. 404 c/c art. 240, §5º</t>
        </is>
      </c>
      <c r="D56" s="7" t="inlineStr">
        <is>
          <t>https://www.planalto.gov.br/ccivil_03/decreto-lei/del1001compilado.htm</t>
        </is>
      </c>
      <c r="E56" s="5" t="inlineStr">
        <is>
          <t>sim</t>
        </is>
      </c>
      <c r="F56" s="8" t="n"/>
      <c r="H56" s="8" t="n"/>
      <c r="J56" s="9" t="n"/>
      <c r="L56" s="9" t="n"/>
      <c r="N56" s="9" t="n"/>
      <c r="P56" s="9" t="n"/>
      <c r="R56" s="9" t="n"/>
      <c r="T56" s="9" t="n"/>
      <c r="V56" s="9" t="n"/>
      <c r="Z56" s="9" t="inlineStr">
        <is>
          <t>Furto qualificado — coisa pertencente à Fazenda Pública (tempo de guerra)</t>
        </is>
      </c>
      <c r="AA56" t="inlineStr">
        <is>
          <t>Sim</t>
        </is>
      </c>
    </row>
    <row r="57">
      <c r="A57" t="n">
        <v>1445</v>
      </c>
      <c r="B57" s="9" t="inlineStr">
        <is>
          <t>CPM (DL 1.001/69)</t>
        </is>
      </c>
      <c r="C57" s="9" t="inlineStr">
        <is>
          <t>Art. 405 c/c art. 243, §1º</t>
        </is>
      </c>
      <c r="D57" s="10" t="inlineStr">
        <is>
          <t>https://www.planalto.gov.br/ccivil_03/decreto-lei/del1001compilado.htm</t>
        </is>
      </c>
      <c r="E57" t="inlineStr"/>
      <c r="F57" s="8" t="n"/>
      <c r="H57" s="8" t="n"/>
      <c r="J57" s="9" t="n"/>
      <c r="L57" s="9" t="n"/>
      <c r="N57" s="9" t="n"/>
      <c r="P57" s="9" t="n"/>
      <c r="R57" s="9" t="n"/>
      <c r="T57" s="9" t="n"/>
      <c r="V57" s="9" t="n"/>
      <c r="Z57" s="9" t="inlineStr">
        <is>
          <t>Extorsão qualificada (tempo de guerra)</t>
        </is>
      </c>
      <c r="AA57" t="inlineStr">
        <is>
          <t>Sim</t>
        </is>
      </c>
    </row>
    <row r="58">
      <c r="A58" t="n">
        <v>1439</v>
      </c>
      <c r="B58" s="9" t="inlineStr">
        <is>
          <t>CPM (DL 1.001/69)</t>
        </is>
      </c>
      <c r="C58" s="9" t="inlineStr">
        <is>
          <t>Art. 404 c/c art. 240, §6º-A</t>
        </is>
      </c>
      <c r="D58" s="10" t="inlineStr">
        <is>
          <t>https://www.planalto.gov.br/ccivil_03/decreto-lei/del1001compilado.htm</t>
        </is>
      </c>
      <c r="E58" t="inlineStr"/>
      <c r="F58" s="8" t="n"/>
      <c r="H58" s="8" t="n"/>
      <c r="J58" s="9" t="n"/>
      <c r="L58" s="9" t="n"/>
      <c r="N58" s="9" t="n"/>
      <c r="P58" s="9" t="n"/>
      <c r="R58" s="9" t="n"/>
      <c r="T58" s="9" t="n"/>
      <c r="V58" s="9" t="n"/>
      <c r="Z58" s="9" t="inlineStr">
        <is>
          <t>Furto qualificado — material de uso restrito militar (tempo de guerra)</t>
        </is>
      </c>
      <c r="AA58" t="inlineStr">
        <is>
          <t>Sim</t>
        </is>
      </c>
    </row>
    <row r="59">
      <c r="A59" t="n">
        <v>1435</v>
      </c>
      <c r="B59" s="9" t="inlineStr">
        <is>
          <t>CPM (DL 1.001/69)</t>
        </is>
      </c>
      <c r="C59" s="9" t="inlineStr">
        <is>
          <t>Art. 391 c/c art. 192</t>
        </is>
      </c>
      <c r="D59" s="10" t="inlineStr">
        <is>
          <t>https://www.planalto.gov.br/ccivil_03/decreto-lei/del1001compilado.htm</t>
        </is>
      </c>
      <c r="E59" t="inlineStr"/>
      <c r="F59" s="8" t="n"/>
      <c r="H59" s="8" t="n"/>
      <c r="J59" s="9" t="n"/>
      <c r="L59" s="9" t="n"/>
      <c r="N59" s="9" t="n"/>
      <c r="P59" s="9" t="n"/>
      <c r="R59" s="9" t="n"/>
      <c r="T59" s="9" t="n"/>
      <c r="V59" s="9" t="n"/>
      <c r="Z59" s="9" t="inlineStr">
        <is>
          <t>Deserção por evasão ou fuga (tempo de guerra)</t>
        </is>
      </c>
      <c r="AA59" t="inlineStr">
        <is>
          <t>Sim</t>
        </is>
      </c>
    </row>
    <row r="60">
      <c r="A60" t="n">
        <v>1433</v>
      </c>
      <c r="B60" s="9" t="inlineStr">
        <is>
          <t>CPM (DL 1.001/69)</t>
        </is>
      </c>
      <c r="C60" s="9" t="inlineStr">
        <is>
          <t>Art. 391 c/c art. 191, I</t>
        </is>
      </c>
      <c r="D60" s="10" t="inlineStr">
        <is>
          <t>https://www.planalto.gov.br/ccivil_03/decreto-lei/del1001compilado.htm</t>
        </is>
      </c>
      <c r="E60" t="inlineStr"/>
      <c r="F60" s="8" t="n"/>
      <c r="H60" s="8" t="n"/>
      <c r="J60" s="9" t="n"/>
      <c r="L60" s="9" t="n"/>
      <c r="N60" s="9" t="n"/>
      <c r="P60" s="9" t="n"/>
      <c r="R60" s="9" t="n"/>
      <c r="T60" s="9" t="n"/>
      <c r="V60" s="9" t="n"/>
      <c r="Z60" s="9" t="inlineStr">
        <is>
          <t>Concerto para deserção não consumada (tempo de guerra)</t>
        </is>
      </c>
      <c r="AA60" t="inlineStr">
        <is>
          <t>Sim</t>
        </is>
      </c>
    </row>
    <row r="61">
      <c r="A61" t="n">
        <v>1526</v>
      </c>
      <c r="B61" s="9" t="inlineStr">
        <is>
          <t>CPM (DL 1.001/69)</t>
        </is>
      </c>
      <c r="C61" s="9" t="inlineStr">
        <is>
          <t>Art. 244, §2º</t>
        </is>
      </c>
      <c r="D61" s="10" t="inlineStr">
        <is>
          <t>https://www.planalto.gov.br/ccivil_03/decreto-lei/del1001compilado.htm</t>
        </is>
      </c>
      <c r="E61" t="inlineStr"/>
      <c r="F61" s="8" t="n"/>
      <c r="H61" s="8" t="n"/>
      <c r="J61" s="9" t="n"/>
      <c r="L61" s="9" t="n"/>
      <c r="N61" s="9" t="n"/>
      <c r="P61" s="9" t="n"/>
      <c r="R61" s="9" t="n"/>
      <c r="T61" s="9" t="n"/>
      <c r="V61" s="9" t="n"/>
      <c r="Z61" s="9" t="inlineStr">
        <is>
          <t>Extorsão mediante sequestro — grave sofrimento físico ou moral (tempo de paz)</t>
        </is>
      </c>
      <c r="AA61" t="inlineStr">
        <is>
          <t>Sim</t>
        </is>
      </c>
    </row>
    <row r="62">
      <c r="A62" t="n">
        <v>1431</v>
      </c>
      <c r="B62" s="9" t="inlineStr">
        <is>
          <t>CPM (DL 1.001/69)</t>
        </is>
      </c>
      <c r="C62" s="9" t="inlineStr">
        <is>
          <t>Art. 391 c/c art. 190, §2º</t>
        </is>
      </c>
      <c r="D62" s="10" t="inlineStr">
        <is>
          <t>https://www.planalto.gov.br/ccivil_03/decreto-lei/del1001compilado.htm</t>
        </is>
      </c>
      <c r="E62" t="inlineStr"/>
      <c r="F62" s="8" t="n"/>
      <c r="H62" s="8" t="n"/>
      <c r="J62" s="9" t="n"/>
      <c r="L62" s="9" t="n"/>
      <c r="N62" s="9" t="n"/>
      <c r="P62" s="9" t="n"/>
      <c r="R62" s="9" t="n"/>
      <c r="T62" s="9" t="n"/>
      <c r="V62" s="9" t="n"/>
      <c r="Z62" s="9" t="inlineStr">
        <is>
          <t>Deserção especial — apresentação em mais de 5 e até 8 dias (tempo de guerra)</t>
        </is>
      </c>
      <c r="AA62" t="inlineStr">
        <is>
          <t>Sim</t>
        </is>
      </c>
    </row>
    <row r="63">
      <c r="A63" t="n">
        <v>1454</v>
      </c>
      <c r="B63" s="9" t="inlineStr">
        <is>
          <t>CPM (DL 1.001/69)</t>
        </is>
      </c>
      <c r="C63" s="9" t="inlineStr">
        <is>
          <t>Art. 243, §2º</t>
        </is>
      </c>
      <c r="D63" s="10" t="inlineStr">
        <is>
          <t>https://www.planalto.gov.br/ccivil_03/decreto-lei/del1001compilado.htm</t>
        </is>
      </c>
      <c r="E63" t="inlineStr"/>
      <c r="F63" s="8" t="n"/>
      <c r="H63" s="8" t="n"/>
      <c r="J63" s="9" t="n"/>
      <c r="L63" s="9" t="n"/>
      <c r="N63" s="9" t="n"/>
      <c r="P63" s="9" t="n"/>
      <c r="R63" s="9" t="n"/>
      <c r="T63" s="9" t="n"/>
      <c r="V63" s="9" t="n"/>
      <c r="Z63" s="9" t="inlineStr">
        <is>
          <t>Extorsão qualificada pela morte (tempo de paz)</t>
        </is>
      </c>
      <c r="AA63" t="inlineStr">
        <is>
          <t>Sim</t>
        </is>
      </c>
    </row>
    <row r="64">
      <c r="A64" t="n">
        <v>1527</v>
      </c>
      <c r="B64" s="9" t="inlineStr">
        <is>
          <t>CPM (DL 1.001/69)</t>
        </is>
      </c>
      <c r="C64" s="9" t="inlineStr">
        <is>
          <t>Art. 292, §1º</t>
        </is>
      </c>
      <c r="D64" s="10" t="inlineStr">
        <is>
          <t>https://www.planalto.gov.br/ccivil_03/decreto-lei/del1001compilado.htm</t>
        </is>
      </c>
      <c r="E64" t="inlineStr"/>
      <c r="F64" s="8" t="n"/>
      <c r="H64" s="8" t="n"/>
      <c r="J64" s="9" t="n"/>
      <c r="L64" s="9" t="n"/>
      <c r="N64" s="9" t="n"/>
      <c r="P64" s="9" t="n"/>
      <c r="R64" s="9" t="n"/>
      <c r="T64" s="9" t="n"/>
      <c r="V64" s="9" t="n"/>
      <c r="Z64" s="9" t="inlineStr">
        <is>
          <t>Epidemia com resultado morte</t>
        </is>
      </c>
      <c r="AA64" t="inlineStr">
        <is>
          <t>Sim</t>
        </is>
      </c>
    </row>
    <row r="65">
      <c r="A65" t="n">
        <v>1429</v>
      </c>
      <c r="B65" s="9" t="inlineStr">
        <is>
          <t>CPM (DL 1.001/69)</t>
        </is>
      </c>
      <c r="C65" s="9" t="inlineStr">
        <is>
          <t>Art. 391 c/c art. 190, caput</t>
        </is>
      </c>
      <c r="D65" s="10" t="inlineStr">
        <is>
          <t>https://www.planalto.gov.br/ccivil_03/decreto-lei/del1001compilado.htm</t>
        </is>
      </c>
      <c r="E65" t="inlineStr"/>
      <c r="F65" s="8" t="n"/>
      <c r="H65" s="8" t="n"/>
      <c r="J65" s="9" t="n"/>
      <c r="L65" s="9" t="n"/>
      <c r="N65" s="9" t="n"/>
      <c r="P65" s="9" t="n"/>
      <c r="R65" s="9" t="n"/>
      <c r="T65" s="9" t="n"/>
      <c r="V65" s="9" t="n"/>
      <c r="Z65" s="9" t="inlineStr">
        <is>
          <t>Deserção especial (tempo de guerra)</t>
        </is>
      </c>
      <c r="AA65" t="inlineStr">
        <is>
          <t>Sim</t>
        </is>
      </c>
    </row>
    <row r="66">
      <c r="A66" t="n">
        <v>1430</v>
      </c>
      <c r="B66" s="9" t="inlineStr">
        <is>
          <t>CPM (DL 1.001/69)</t>
        </is>
      </c>
      <c r="C66" s="9" t="inlineStr">
        <is>
          <t>Art. 391 c/c art. 190, §1º</t>
        </is>
      </c>
      <c r="D66" s="10" t="inlineStr">
        <is>
          <t>https://www.planalto.gov.br/ccivil_03/decreto-lei/del1001compilado.htm</t>
        </is>
      </c>
      <c r="E66" t="inlineStr"/>
      <c r="F66" s="8" t="n"/>
      <c r="H66" s="8" t="n"/>
      <c r="J66" s="9" t="n"/>
      <c r="L66" s="9" t="n"/>
      <c r="N66" s="9" t="n"/>
      <c r="P66" s="9" t="n"/>
      <c r="R66" s="9" t="n"/>
      <c r="T66" s="9" t="n"/>
      <c r="V66" s="9" t="n"/>
      <c r="Z66" s="9" t="inlineStr">
        <is>
          <t>Deserção especial — apresentação em mais de 24 horas e até 5 dias (tempo de guerra)</t>
        </is>
      </c>
      <c r="AA66" t="inlineStr">
        <is>
          <t>Sim</t>
        </is>
      </c>
    </row>
    <row r="67">
      <c r="A67" s="5" t="n">
        <v>1298</v>
      </c>
      <c r="B67" s="6" t="inlineStr">
        <is>
          <t>Lei 1.521/51</t>
        </is>
      </c>
      <c r="C67" s="6" t="inlineStr">
        <is>
          <t>Art. 4º, b</t>
        </is>
      </c>
      <c r="D67" s="7" t="inlineStr">
        <is>
          <t>https://www.planalto.gov.br/ccivil_03/leis/l1521.htm</t>
        </is>
      </c>
      <c r="E67" s="5" t="inlineStr">
        <is>
          <t>sim</t>
        </is>
      </c>
      <c r="F67" s="8" t="n"/>
      <c r="H67" s="8" t="n"/>
      <c r="J67" s="9" t="n"/>
      <c r="L67" s="9" t="n"/>
      <c r="N67" s="9" t="n"/>
      <c r="P67" s="9" t="n"/>
      <c r="R67" s="9" t="n"/>
      <c r="T67" s="9" t="n"/>
      <c r="V67" s="9" t="n"/>
      <c r="Z67" s="9" t="inlineStr">
        <is>
          <t>Usura real</t>
        </is>
      </c>
      <c r="AA67" t="inlineStr">
        <is>
          <t>Sim</t>
        </is>
      </c>
    </row>
    <row r="68">
      <c r="A68" s="5" t="n">
        <v>941</v>
      </c>
      <c r="B68" s="6" t="inlineStr">
        <is>
          <t>CE (Lei 4.737/65)</t>
        </is>
      </c>
      <c r="C68" s="6" t="inlineStr">
        <is>
          <t>Art. 335</t>
        </is>
      </c>
      <c r="D68" s="7" t="inlineStr">
        <is>
          <t>https://www.planalto.gov.br/ccivil_03/leis/l4737compilado.htm</t>
        </is>
      </c>
      <c r="E68" s="5" t="inlineStr">
        <is>
          <t>sim</t>
        </is>
      </c>
      <c r="F68" s="8" t="n"/>
      <c r="H68" s="8" t="n"/>
      <c r="J68" s="9" t="n"/>
      <c r="L68" s="9" t="n"/>
      <c r="N68" s="9" t="n"/>
      <c r="P68" s="9" t="n"/>
      <c r="R68" s="9" t="n"/>
      <c r="T68" s="9" t="n"/>
      <c r="V68" s="9" t="n"/>
      <c r="Z68" s="9" t="inlineStr">
        <is>
          <t>Propaganda eleitoral em língua estrangeira</t>
        </is>
      </c>
      <c r="AA68" t="inlineStr">
        <is>
          <t>Sim</t>
        </is>
      </c>
    </row>
    <row r="69">
      <c r="A69" s="5" t="n">
        <v>786</v>
      </c>
      <c r="B69" s="6" t="inlineStr">
        <is>
          <t>CE (Lei 4.737/65)</t>
        </is>
      </c>
      <c r="C69" s="6" t="inlineStr">
        <is>
          <t>Art. 324</t>
        </is>
      </c>
      <c r="D69" s="7" t="inlineStr">
        <is>
          <t>https://www.planalto.gov.br/ccivil_03/leis/l4737compilado.htm</t>
        </is>
      </c>
      <c r="E69" s="5" t="inlineStr">
        <is>
          <t>sim</t>
        </is>
      </c>
      <c r="F69" s="8" t="n"/>
      <c r="H69" s="8" t="n"/>
      <c r="J69" s="9" t="n"/>
      <c r="L69" s="9" t="n"/>
      <c r="N69" s="9" t="n"/>
      <c r="P69" s="9" t="n"/>
      <c r="R69" s="9" t="n"/>
      <c r="T69" s="9" t="n"/>
      <c r="V69" s="9" t="n"/>
      <c r="Z69" s="9" t="inlineStr">
        <is>
          <t>Calúnia eleitoral</t>
        </is>
      </c>
      <c r="AA69" t="inlineStr">
        <is>
          <t>Sim</t>
        </is>
      </c>
    </row>
    <row r="70">
      <c r="A70" s="5" t="n">
        <v>660</v>
      </c>
      <c r="B70" s="6" t="inlineStr">
        <is>
          <t>Lei 8.137/90</t>
        </is>
      </c>
      <c r="C70" s="6" t="inlineStr">
        <is>
          <t>Art. 1º, II</t>
        </is>
      </c>
      <c r="D70" s="7" t="inlineStr">
        <is>
          <t>https://www.planalto.gov.br/ccivil_03/leis/l8137.htm</t>
        </is>
      </c>
      <c r="E70" s="5" t="inlineStr">
        <is>
          <t>sim</t>
        </is>
      </c>
      <c r="F70" s="8" t="n"/>
      <c r="H70" s="8" t="n"/>
      <c r="J70" s="9" t="n"/>
      <c r="L70" s="9" t="n"/>
      <c r="N70" s="9" t="n"/>
      <c r="P70" s="9" t="n"/>
      <c r="R70" s="9" t="n"/>
      <c r="T70" s="9" t="n"/>
      <c r="V70" s="9" t="n"/>
      <c r="Z70" s="9" t="inlineStr">
        <is>
          <t>Supressão ou redução de tributo — fraude à fiscalização tributária</t>
        </is>
      </c>
      <c r="AA70" t="inlineStr">
        <is>
          <t>Sim</t>
        </is>
      </c>
    </row>
    <row r="71">
      <c r="A71" s="5" t="n">
        <v>884</v>
      </c>
      <c r="B71" s="6" t="inlineStr">
        <is>
          <t>Lei 6.538/78</t>
        </is>
      </c>
      <c r="C71" s="6" t="inlineStr">
        <is>
          <t>Art. 40</t>
        </is>
      </c>
      <c r="D71" s="7" t="inlineStr">
        <is>
          <t>https://www.planalto.gov.br/ccivil_03/leis/l6538.htm</t>
        </is>
      </c>
      <c r="E71" s="5" t="inlineStr">
        <is>
          <t>sim</t>
        </is>
      </c>
      <c r="F71" s="8" t="n"/>
      <c r="H71" s="8" t="n"/>
      <c r="J71" s="9" t="n"/>
      <c r="L71" s="9" t="n"/>
      <c r="N71" s="9" t="n"/>
      <c r="P71" s="9" t="n"/>
      <c r="R71" s="9" t="n"/>
      <c r="T71" s="9" t="n"/>
      <c r="V71" s="9" t="n"/>
      <c r="Z71" s="9" t="inlineStr">
        <is>
          <t>Violação de correspondência</t>
        </is>
      </c>
      <c r="AA71" t="inlineStr">
        <is>
          <t>Sim</t>
        </is>
      </c>
    </row>
    <row r="72">
      <c r="A72" s="5" t="n">
        <v>846</v>
      </c>
      <c r="B72" s="6" t="inlineStr">
        <is>
          <t>LCP (DL 3.688/41)</t>
        </is>
      </c>
      <c r="C72" s="6" t="inlineStr">
        <is>
          <t>Art. 55</t>
        </is>
      </c>
      <c r="D72" s="7" t="inlineStr">
        <is>
          <t>https://www.planalto.gov.br/ccivil_03/decreto-lei/del3688.htm</t>
        </is>
      </c>
      <c r="E72" s="5" t="inlineStr">
        <is>
          <t>sim</t>
        </is>
      </c>
      <c r="F72" s="8" t="n"/>
      <c r="H72" s="8" t="n"/>
      <c r="J72" s="9" t="n"/>
      <c r="L72" s="9" t="n"/>
      <c r="N72" s="9" t="n"/>
      <c r="P72" s="9" t="n"/>
      <c r="R72" s="9" t="n"/>
      <c r="T72" s="9" t="n"/>
      <c r="V72" s="9" t="n"/>
      <c r="Z72" s="9" t="inlineStr">
        <is>
          <t>Impressão de bilhetes, listas de sorteio, avisos ou cartazes de loteria onde ela não possa legalmente circular</t>
        </is>
      </c>
      <c r="AA72" t="inlineStr">
        <is>
          <t>Sim</t>
        </is>
      </c>
    </row>
    <row r="73">
      <c r="A73" s="5" t="n">
        <v>433</v>
      </c>
      <c r="B73" s="6" t="inlineStr">
        <is>
          <t>Lei 13.869/19</t>
        </is>
      </c>
      <c r="C73" s="6" t="inlineStr">
        <is>
          <t>Art. 21</t>
        </is>
      </c>
      <c r="D73" s="7" t="inlineStr">
        <is>
          <t>https://www.planalto.gov.br/ccivil_03/_ato2019-2022/2019/lei/l13869.htm</t>
        </is>
      </c>
      <c r="E73" s="5" t="inlineStr">
        <is>
          <t>sim</t>
        </is>
      </c>
      <c r="F73" s="8" t="n"/>
      <c r="H73" s="8" t="n"/>
      <c r="J73" s="9" t="n"/>
      <c r="L73" s="9" t="n"/>
      <c r="N73" s="9" t="n"/>
      <c r="P73" s="9" t="n"/>
      <c r="R73" s="9" t="n"/>
      <c r="T73" s="9" t="n"/>
      <c r="V73" s="9" t="n"/>
      <c r="Z73" s="9" t="inlineStr">
        <is>
          <t>Manutenção de presos de sexos diferentes na mesma cela ou espaço de confinamento</t>
        </is>
      </c>
      <c r="AA73" t="inlineStr">
        <is>
          <t>Sim</t>
        </is>
      </c>
    </row>
    <row r="74">
      <c r="A74" t="n">
        <v>395</v>
      </c>
      <c r="B74" s="9" t="inlineStr">
        <is>
          <t>Lei 8.137/90</t>
        </is>
      </c>
      <c r="C74" s="9" t="inlineStr">
        <is>
          <t>Art. 1º</t>
        </is>
      </c>
      <c r="D74" s="10" t="inlineStr">
        <is>
          <t>https://www.planalto.gov.br/ccivil_03/leis/l8137.htm</t>
        </is>
      </c>
      <c r="E74" t="inlineStr"/>
      <c r="F74" s="8" t="n"/>
      <c r="H74" s="8" t="n"/>
      <c r="J74" s="9" t="n"/>
      <c r="L74" s="9" t="n"/>
      <c r="N74" s="9" t="n"/>
      <c r="P74" s="9" t="n"/>
      <c r="R74" s="9" t="n"/>
      <c r="T74" s="9" t="n"/>
      <c r="V74" s="9" t="n"/>
      <c r="Z74" s="9" t="inlineStr">
        <is>
          <t>Sonegação fiscal material (suprimir/reduzir tributo mediante conduta comissiva)</t>
        </is>
      </c>
      <c r="AA74" t="inlineStr">
        <is>
          <t>Sim</t>
        </is>
      </c>
    </row>
    <row r="75">
      <c r="A75" t="n">
        <v>645</v>
      </c>
      <c r="B75" s="9" t="inlineStr">
        <is>
          <t>Lei 11.105/05</t>
        </is>
      </c>
      <c r="C75" s="9" t="inlineStr">
        <is>
          <t>Art. 25</t>
        </is>
      </c>
      <c r="D75" s="10" t="inlineStr">
        <is>
          <t>https://www.planalto.gov.br/ccivil_03/_ato2004-2006/2005/lei/l11105.htm</t>
        </is>
      </c>
      <c r="E75" t="inlineStr"/>
      <c r="F75" s="8" t="n"/>
      <c r="H75" s="8" t="n"/>
      <c r="J75" s="9" t="n"/>
      <c r="L75" s="9" t="n"/>
      <c r="N75" s="9" t="n"/>
      <c r="P75" s="9" t="n"/>
      <c r="R75" s="9" t="n"/>
      <c r="T75" s="9" t="n"/>
      <c r="V75" s="9" t="n"/>
      <c r="Z75" s="9" t="inlineStr">
        <is>
          <t>Engenharia genética em célula germinal humana, zigoto ou embrião humano</t>
        </is>
      </c>
      <c r="AA75" t="inlineStr">
        <is>
          <t>Sim</t>
        </is>
      </c>
    </row>
    <row r="76">
      <c r="A76" t="n">
        <v>914</v>
      </c>
      <c r="B76" s="9" t="inlineStr">
        <is>
          <t>DL 6.259/44</t>
        </is>
      </c>
      <c r="C76" s="9" t="inlineStr">
        <is>
          <t>Art. 49</t>
        </is>
      </c>
      <c r="D76" s="10" t="inlineStr">
        <is>
          <t>https://www.planalto.gov.br/ccivil_03/decreto-lei/1937-1946/del6259.htm</t>
        </is>
      </c>
      <c r="E76" t="inlineStr"/>
      <c r="F76" s="8" t="n"/>
      <c r="H76" s="8" t="n"/>
      <c r="J76" s="9" t="n"/>
      <c r="L76" s="9" t="n"/>
      <c r="N76" s="9" t="n"/>
      <c r="P76" s="9" t="n"/>
      <c r="R76" s="9" t="n"/>
      <c r="T76" s="9" t="n"/>
      <c r="V76" s="9" t="n"/>
      <c r="Z76" s="9" t="inlineStr">
        <is>
          <t>Exibição ou guarda de listas de sorteio de loteria estrangeira ou de loteria estadual fora do território respectivo</t>
        </is>
      </c>
      <c r="AA76" t="inlineStr">
        <is>
          <t>Sim</t>
        </is>
      </c>
    </row>
    <row r="77">
      <c r="A77" t="n">
        <v>844</v>
      </c>
      <c r="B77" s="9" t="inlineStr">
        <is>
          <t>LCP (DL 3.688/41)</t>
        </is>
      </c>
      <c r="C77" s="9" t="inlineStr">
        <is>
          <t>Art. 53</t>
        </is>
      </c>
      <c r="D77" s="10" t="inlineStr">
        <is>
          <t>https://www.planalto.gov.br/ccivil_03/decreto-lei/del3688.htm</t>
        </is>
      </c>
      <c r="E77" t="inlineStr"/>
      <c r="F77" s="8" t="n"/>
      <c r="H77" s="8" t="n"/>
      <c r="J77" s="9" t="n"/>
      <c r="L77" s="9" t="n"/>
      <c r="N77" s="9" t="n"/>
      <c r="P77" s="9" t="n"/>
      <c r="R77" s="9" t="n"/>
      <c r="T77" s="9" t="n"/>
      <c r="V77" s="9" t="n"/>
      <c r="Z77" s="9" t="inlineStr">
        <is>
          <t>Loteria estadual</t>
        </is>
      </c>
      <c r="AA77" t="inlineStr">
        <is>
          <t>Sim</t>
        </is>
      </c>
    </row>
    <row r="78">
      <c r="A78" t="n">
        <v>1007</v>
      </c>
      <c r="B78" s="9" t="inlineStr">
        <is>
          <t>Lei 1.521/51</t>
        </is>
      </c>
      <c r="C78" s="9" t="inlineStr">
        <is>
          <t>Art. 4º, a</t>
        </is>
      </c>
      <c r="D78" s="10" t="inlineStr">
        <is>
          <t>https://www.planalto.gov.br/ccivil_03/leis/l1521.htm</t>
        </is>
      </c>
      <c r="E78" t="inlineStr"/>
      <c r="F78" s="8" t="n"/>
      <c r="H78" s="8" t="n"/>
      <c r="J78" s="9" t="n"/>
      <c r="L78" s="9" t="n"/>
      <c r="N78" s="9" t="n"/>
      <c r="P78" s="9" t="n"/>
      <c r="R78" s="9" t="n"/>
      <c r="T78" s="9" t="n"/>
      <c r="V78" s="9" t="n"/>
      <c r="Z78" s="9" t="inlineStr">
        <is>
          <t>Usura pecuniária (cobrar juros, comissões ou descontos acima da taxa legal)</t>
        </is>
      </c>
      <c r="AA78" t="inlineStr">
        <is>
          <t>Sim</t>
        </is>
      </c>
    </row>
    <row r="79">
      <c r="A79" t="n">
        <v>391</v>
      </c>
      <c r="B79" s="9" t="inlineStr">
        <is>
          <t>Lei 12.850/13</t>
        </is>
      </c>
      <c r="C79" s="9" t="inlineStr">
        <is>
          <t>Art. 21</t>
        </is>
      </c>
      <c r="D79" s="10" t="inlineStr">
        <is>
          <t>https://www.planalto.gov.br/ccivil_03/_ato2011-2014/2013/lei/l12850.htm</t>
        </is>
      </c>
      <c r="E79" t="inlineStr"/>
      <c r="F79" s="8" t="n"/>
      <c r="H79" s="8" t="n"/>
      <c r="J79" s="9" t="n"/>
      <c r="L79" s="9" t="n"/>
      <c r="N79" s="9" t="n"/>
      <c r="P79" s="9" t="n"/>
      <c r="R79" s="9" t="n"/>
      <c r="T79" s="9" t="n"/>
      <c r="V79" s="9" t="n"/>
      <c r="Z79" s="9" t="inlineStr">
        <is>
          <t>Recusa ou omissão de dados requisitados na investigação ou no processo</t>
        </is>
      </c>
      <c r="AA79" t="inlineStr">
        <is>
          <t>Sim</t>
        </is>
      </c>
    </row>
    <row r="80">
      <c r="A80" t="n">
        <v>967</v>
      </c>
      <c r="B80" s="9" t="inlineStr">
        <is>
          <t>Lei 10.741/03</t>
        </is>
      </c>
      <c r="C80" s="9" t="inlineStr">
        <is>
          <t>Art. 105</t>
        </is>
      </c>
      <c r="D80" s="10" t="inlineStr">
        <is>
          <t>https://www.planalto.gov.br/ccivil_03/leis/2003/l10.741.htm</t>
        </is>
      </c>
      <c r="E80" t="inlineStr"/>
      <c r="F80" s="8" t="n"/>
      <c r="H80" s="8" t="n"/>
      <c r="J80" s="9" t="n"/>
      <c r="L80" s="9" t="n"/>
      <c r="N80" s="9" t="n"/>
      <c r="P80" s="9" t="n"/>
      <c r="R80" s="9" t="n"/>
      <c r="T80" s="9" t="n"/>
      <c r="V80" s="9" t="n"/>
      <c r="Z80" s="9" t="inlineStr">
        <is>
          <t>Exibição de informações ou imagens depreciativas da pessoa idosa</t>
        </is>
      </c>
      <c r="AA80" t="inlineStr">
        <is>
          <t>Sim</t>
        </is>
      </c>
    </row>
    <row r="81">
      <c r="A81" t="n">
        <v>1005</v>
      </c>
      <c r="B81" s="9" t="inlineStr">
        <is>
          <t>Lei 13.869/19</t>
        </is>
      </c>
      <c r="C81" s="9" t="inlineStr">
        <is>
          <t>Art. 32</t>
        </is>
      </c>
      <c r="D81" s="10" t="inlineStr">
        <is>
          <t>https://www.planalto.gov.br/ccivil_03/_ato2019-2022/2019/lei/l13869.htm</t>
        </is>
      </c>
      <c r="E81" t="inlineStr"/>
      <c r="F81" s="8" t="n"/>
      <c r="H81" s="8" t="n"/>
      <c r="J81" s="9" t="n"/>
      <c r="L81" s="9" t="n"/>
      <c r="N81" s="9" t="n"/>
      <c r="P81" s="9" t="n"/>
      <c r="R81" s="9" t="n"/>
      <c r="T81" s="9" t="n"/>
      <c r="V81" s="9" t="n"/>
      <c r="Z81" s="9" t="inlineStr">
        <is>
          <t>Negativa de acesso aos autos ao interessado, ao defensor ou ao advogado</t>
        </is>
      </c>
      <c r="AA81" t="inlineStr">
        <is>
          <t>Sim</t>
        </is>
      </c>
    </row>
    <row r="82">
      <c r="A82" t="n">
        <v>420</v>
      </c>
      <c r="B82" s="9" t="inlineStr">
        <is>
          <t>Lei 7.716/89</t>
        </is>
      </c>
      <c r="C82" s="9" t="inlineStr">
        <is>
          <t>Art. 12</t>
        </is>
      </c>
      <c r="D82" s="10" t="inlineStr">
        <is>
          <t>https://www.planalto.gov.br/ccivil_03/leis/l7716.htm</t>
        </is>
      </c>
      <c r="E82" t="inlineStr"/>
      <c r="F82" s="8" t="n"/>
      <c r="H82" s="8" t="n"/>
      <c r="J82" s="9" t="n"/>
      <c r="L82" s="9" t="n"/>
      <c r="N82" s="9" t="n"/>
      <c r="P82" s="9" t="n"/>
      <c r="R82" s="9" t="n"/>
      <c r="T82" s="9" t="n"/>
      <c r="V82" s="9" t="n"/>
      <c r="Z82" s="9" t="inlineStr">
        <is>
          <t>Impedimento de acesso ou uso de transportes públicos</t>
        </is>
      </c>
      <c r="AA82" t="inlineStr">
        <is>
          <t>Sim</t>
        </is>
      </c>
    </row>
    <row r="83">
      <c r="A83" t="n">
        <v>1427</v>
      </c>
      <c r="B83" s="9" t="inlineStr">
        <is>
          <t>Lei 9.605/98</t>
        </is>
      </c>
      <c r="C83" s="9" t="inlineStr">
        <is>
          <t>Art. 68, parágrafo único (culposa)</t>
        </is>
      </c>
      <c r="D83" s="10" t="inlineStr">
        <is>
          <t>https://www.planalto.gov.br/ccivil_03/leis/l9605.htm</t>
        </is>
      </c>
      <c r="E83" t="inlineStr"/>
      <c r="F83" s="8" t="n"/>
      <c r="H83" s="8" t="n"/>
      <c r="J83" s="9" t="n"/>
      <c r="L83" s="9" t="n"/>
      <c r="N83" s="9" t="n"/>
      <c r="P83" s="9" t="n"/>
      <c r="R83" s="9" t="n"/>
      <c r="T83" s="9" t="n"/>
      <c r="V83" s="9" t="n"/>
      <c r="Z83" s="9" t="inlineStr">
        <is>
          <t>Descumprimento de obrigação de relevante interesse ambiental — modalidade culposa</t>
        </is>
      </c>
      <c r="AA83" t="inlineStr">
        <is>
          <t>Sim</t>
        </is>
      </c>
    </row>
    <row r="84">
      <c r="A84" t="n">
        <v>362</v>
      </c>
      <c r="B84" s="9" t="inlineStr">
        <is>
          <t>Lei 9.605/98</t>
        </is>
      </c>
      <c r="C84" s="9" t="inlineStr">
        <is>
          <t>Art. 45</t>
        </is>
      </c>
      <c r="D84" s="10" t="inlineStr">
        <is>
          <t>https://www.planalto.gov.br/ccivil_03/leis/l9605.htm</t>
        </is>
      </c>
      <c r="E84" t="inlineStr"/>
      <c r="F84" s="8" t="n"/>
      <c r="H84" s="8" t="n"/>
      <c r="J84" s="9" t="n"/>
      <c r="L84" s="9" t="n"/>
      <c r="N84" s="9" t="n"/>
      <c r="P84" s="9" t="n"/>
      <c r="R84" s="9" t="n"/>
      <c r="T84" s="9" t="n"/>
      <c r="V84" s="9" t="n"/>
      <c r="Z84" s="9" t="inlineStr">
        <is>
          <t>Cortar ou transformar em carvão madeira de lei protegida sem autorização</t>
        </is>
      </c>
      <c r="AA84" t="inlineStr">
        <is>
          <t>Sim</t>
        </is>
      </c>
    </row>
    <row r="85">
      <c r="A85" t="n">
        <v>532</v>
      </c>
      <c r="B85" s="9" t="inlineStr">
        <is>
          <t>Lei 9.504/97</t>
        </is>
      </c>
      <c r="C85" s="9" t="inlineStr">
        <is>
          <t>Art. 33, §4º</t>
        </is>
      </c>
      <c r="D85" s="10" t="inlineStr">
        <is>
          <t>https://www.planalto.gov.br/ccivil_03/leis/l9504.htm</t>
        </is>
      </c>
      <c r="E85" t="inlineStr"/>
      <c r="F85" s="8" t="n"/>
      <c r="H85" s="8" t="n"/>
      <c r="J85" s="9" t="n"/>
      <c r="L85" s="9" t="n"/>
      <c r="N85" s="9" t="n"/>
      <c r="P85" s="9" t="n"/>
      <c r="R85" s="9" t="n"/>
      <c r="T85" s="9" t="n"/>
      <c r="V85" s="9" t="n"/>
      <c r="Z85" s="9" t="inlineStr">
        <is>
          <t>Divulgação de pesquisa eleitoral fraudulenta</t>
        </is>
      </c>
      <c r="AA85" t="inlineStr">
        <is>
          <t>Sim</t>
        </is>
      </c>
    </row>
    <row r="86">
      <c r="A86" t="n">
        <v>775</v>
      </c>
      <c r="B86" s="9" t="inlineStr">
        <is>
          <t>CE (Lei 4.737/65)</t>
        </is>
      </c>
      <c r="C86" s="9" t="inlineStr">
        <is>
          <t>Art. 291</t>
        </is>
      </c>
      <c r="D86" s="10" t="inlineStr">
        <is>
          <t>https://www.planalto.gov.br/ccivil_03/leis/l4737compilado.htm</t>
        </is>
      </c>
      <c r="E86" t="inlineStr"/>
      <c r="F86" s="8" t="n"/>
      <c r="H86" s="8" t="n"/>
      <c r="J86" s="9" t="n"/>
      <c r="L86" s="9" t="n"/>
      <c r="N86" s="9" t="n"/>
      <c r="P86" s="9" t="n"/>
      <c r="R86" s="9" t="n"/>
      <c r="T86" s="9" t="n"/>
      <c r="V86" s="9" t="n"/>
      <c r="Z86" s="9" t="inlineStr">
        <is>
          <t>Efetuar o juiz, fraudulentamente, a inscrição de alistando</t>
        </is>
      </c>
      <c r="AA86" t="inlineStr">
        <is>
          <t>Sim</t>
        </is>
      </c>
    </row>
    <row r="87">
      <c r="A87" t="n">
        <v>355</v>
      </c>
      <c r="B87" s="9" t="inlineStr">
        <is>
          <t>Lei 9.605/98</t>
        </is>
      </c>
      <c r="C87" s="9" t="inlineStr">
        <is>
          <t>Art. 38</t>
        </is>
      </c>
      <c r="D87" s="10" t="inlineStr">
        <is>
          <t>https://www.planalto.gov.br/ccivil_03/leis/l9605.htm</t>
        </is>
      </c>
      <c r="E87" t="inlineStr"/>
      <c r="F87" s="8" t="n"/>
      <c r="H87" s="8" t="n"/>
      <c r="J87" s="9" t="n"/>
      <c r="L87" s="9" t="n"/>
      <c r="N87" s="9" t="n"/>
      <c r="P87" s="9" t="n"/>
      <c r="R87" s="9" t="n"/>
      <c r="T87" s="9" t="n"/>
      <c r="V87" s="9" t="n"/>
      <c r="Z87" s="9" t="inlineStr">
        <is>
          <t>Destruição ou dano de floresta de preservação permanente</t>
        </is>
      </c>
      <c r="AA87" t="inlineStr">
        <is>
          <t>Sim</t>
        </is>
      </c>
    </row>
    <row r="88">
      <c r="A88" t="n">
        <v>514</v>
      </c>
      <c r="B88" s="9" t="inlineStr">
        <is>
          <t>CDC (Lei 8.078/90)</t>
        </is>
      </c>
      <c r="C88" s="9" t="inlineStr">
        <is>
          <t>Art. 72</t>
        </is>
      </c>
      <c r="D88" s="10" t="inlineStr">
        <is>
          <t>https://www.planalto.gov.br/ccivil_03/leis/l8078compilado.htm</t>
        </is>
      </c>
      <c r="E88" t="inlineStr"/>
      <c r="F88" s="8" t="n"/>
      <c r="H88" s="8" t="n"/>
      <c r="J88" s="9" t="n"/>
      <c r="L88" s="9" t="n"/>
      <c r="N88" s="9" t="n"/>
      <c r="P88" s="9" t="n"/>
      <c r="R88" s="9" t="n"/>
      <c r="T88" s="9" t="n"/>
      <c r="V88" s="9" t="n"/>
      <c r="Z88" s="9" t="inlineStr">
        <is>
          <t>Impedimento de acesso do consumidor a informações sobre ele em cadastros</t>
        </is>
      </c>
      <c r="AA88" t="inlineStr">
        <is>
          <t>Sim</t>
        </is>
      </c>
    </row>
    <row r="89">
      <c r="A89" t="n">
        <v>487</v>
      </c>
      <c r="B89" s="9" t="inlineStr">
        <is>
          <t>Lei 11.101/05</t>
        </is>
      </c>
      <c r="C89" s="9" t="inlineStr">
        <is>
          <t>Art. 175</t>
        </is>
      </c>
      <c r="D89" s="10" t="inlineStr">
        <is>
          <t>https://www.planalto.gov.br/ccivil_03/_ato2004-2006/2005/lei/l11101.htm</t>
        </is>
      </c>
      <c r="E89" t="inlineStr"/>
      <c r="F89" s="8" t="n"/>
      <c r="H89" s="8" t="n"/>
      <c r="J89" s="9" t="n"/>
      <c r="L89" s="9" t="n"/>
      <c r="N89" s="9" t="n"/>
      <c r="P89" s="9" t="n"/>
      <c r="R89" s="9" t="n"/>
      <c r="T89" s="9" t="n"/>
      <c r="V89" s="9" t="n"/>
      <c r="Z89" s="9" t="inlineStr">
        <is>
          <t>Apresentação de relação ou habilitação de créditos falsa em falência ou recuperação</t>
        </is>
      </c>
      <c r="AA89" t="inlineStr">
        <is>
          <t>Sim</t>
        </is>
      </c>
    </row>
    <row r="90">
      <c r="A90" s="5" t="n">
        <v>547</v>
      </c>
      <c r="B90" s="6" t="inlineStr">
        <is>
          <t>Lei 1.579/52</t>
        </is>
      </c>
      <c r="C90" s="6" t="inlineStr">
        <is>
          <t>Art. 4º, I</t>
        </is>
      </c>
      <c r="D90" s="7" t="inlineStr">
        <is>
          <t>https://www.planalto.gov.br/ccivil_03/leis/l1579.htm</t>
        </is>
      </c>
      <c r="E90" s="5" t="inlineStr">
        <is>
          <t>sim</t>
        </is>
      </c>
      <c r="F90" s="8" t="n"/>
      <c r="H90" s="8" t="n"/>
      <c r="J90" s="9" t="n"/>
      <c r="L90" s="9" t="n"/>
      <c r="N90" s="9" t="n"/>
      <c r="P90" s="9" t="n"/>
      <c r="R90" s="9" t="n"/>
      <c r="T90" s="9" t="n"/>
      <c r="V90" s="9" t="n"/>
      <c r="Z90" s="9" t="inlineStr">
        <is>
          <t>Impedimento ou tentativa de impedimento de funcionamento de CPI</t>
        </is>
      </c>
      <c r="AA90" t="inlineStr">
        <is>
          <t>Sim</t>
        </is>
      </c>
    </row>
    <row r="91">
      <c r="A91" s="5" t="n">
        <v>1320</v>
      </c>
      <c r="B91" s="6" t="inlineStr">
        <is>
          <t>ECA</t>
        </is>
      </c>
      <c r="C91" s="6" t="inlineStr">
        <is>
          <t>Art. 240, §1º, I</t>
        </is>
      </c>
      <c r="D91" s="7" t="inlineStr">
        <is>
          <t>https://www.planalto.gov.br/ccivil_03/leis/l8069compilado.htm</t>
        </is>
      </c>
      <c r="E91" s="5" t="inlineStr">
        <is>
          <t>sim</t>
        </is>
      </c>
      <c r="F91" s="8" t="n"/>
      <c r="H91" s="8" t="n"/>
      <c r="J91" s="9" t="n"/>
      <c r="L91" s="9" t="n"/>
      <c r="N91" s="9" t="n"/>
      <c r="P91" s="9" t="n"/>
      <c r="R91" s="9" t="n"/>
      <c r="T91" s="9" t="n"/>
      <c r="V91" s="9" t="n"/>
      <c r="Z91" s="9" t="inlineStr">
        <is>
          <t>Agenciamento, recrutamento ou intermediação da participação de criança ou adolescente em cena de sexo explícito</t>
        </is>
      </c>
      <c r="AA91" t="inlineStr">
        <is>
          <t>Sim</t>
        </is>
      </c>
    </row>
    <row r="92">
      <c r="A92" t="n">
        <v>919</v>
      </c>
      <c r="B92" s="9" t="inlineStr">
        <is>
          <t>DL 6.259/44</t>
        </is>
      </c>
      <c r="C92" s="9" t="inlineStr">
        <is>
          <t>Art. 54</t>
        </is>
      </c>
      <c r="D92" s="10" t="inlineStr">
        <is>
          <t>https://www.planalto.gov.br/ccivil_03/decreto-lei/1937-1946/del6259.htm</t>
        </is>
      </c>
      <c r="E92" t="inlineStr"/>
      <c r="F92" s="8" t="n"/>
      <c r="H92" s="8" t="n"/>
      <c r="J92" s="9" t="n"/>
      <c r="L92" s="9" t="n"/>
      <c r="N92" s="9" t="n"/>
      <c r="P92" s="9" t="n"/>
      <c r="R92" s="9" t="n"/>
      <c r="T92" s="9" t="n"/>
      <c r="V92" s="9" t="n"/>
      <c r="Z92" s="9" t="inlineStr">
        <is>
          <t>Falsificação, emenda ou adulteração de bilhete de loteria</t>
        </is>
      </c>
      <c r="AA92" t="inlineStr">
        <is>
          <t>Sim</t>
        </is>
      </c>
    </row>
    <row r="93">
      <c r="A93" t="n">
        <v>394</v>
      </c>
      <c r="B93" s="9" t="inlineStr">
        <is>
          <t>Lei 9.613/98</t>
        </is>
      </c>
      <c r="C93" s="9" t="inlineStr">
        <is>
          <t>Art. 1º, §5º</t>
        </is>
      </c>
      <c r="D93" s="10" t="inlineStr">
        <is>
          <t>https://www.planalto.gov.br/ccivil_03/leis/l9613.htm</t>
        </is>
      </c>
      <c r="E93" t="inlineStr"/>
      <c r="F93" s="8" t="n"/>
      <c r="H93" s="8" t="n"/>
      <c r="J93" s="9" t="n"/>
      <c r="L93" s="9" t="n"/>
      <c r="N93" s="9" t="n"/>
      <c r="P93" s="9" t="n"/>
      <c r="R93" s="9" t="n"/>
      <c r="T93" s="9" t="n"/>
      <c r="V93" s="9" t="n"/>
      <c r="Z93" s="9" t="inlineStr">
        <is>
          <t>Lavagem de dinheiro com diminuição de 1/3 a 2/3 (colaboração espontânea)</t>
        </is>
      </c>
      <c r="AA93" t="inlineStr">
        <is>
          <t>Sim</t>
        </is>
      </c>
    </row>
    <row r="94">
      <c r="A94" t="n">
        <v>952</v>
      </c>
      <c r="B94" s="9" t="inlineStr">
        <is>
          <t>CE (Lei 4.737/65)</t>
        </is>
      </c>
      <c r="C94" s="9" t="inlineStr">
        <is>
          <t>Art. 354</t>
        </is>
      </c>
      <c r="D94" s="10" t="inlineStr">
        <is>
          <t>https://www.planalto.gov.br/ccivil_03/leis/l4737compilado.htm</t>
        </is>
      </c>
      <c r="E94" t="inlineStr"/>
      <c r="F94" s="8" t="n"/>
      <c r="H94" s="8" t="n"/>
      <c r="J94" s="9" t="n"/>
      <c r="L94" s="9" t="n"/>
      <c r="N94" s="9" t="n"/>
      <c r="P94" s="9" t="n"/>
      <c r="R94" s="9" t="n"/>
      <c r="T94" s="9" t="n"/>
      <c r="V94" s="9" t="n"/>
      <c r="Z94" s="9" t="inlineStr">
        <is>
          <t>Obtenção de documento falso para fins eleitorais</t>
        </is>
      </c>
      <c r="AA94" t="inlineStr">
        <is>
          <t>Sim</t>
        </is>
      </c>
    </row>
    <row r="95">
      <c r="A95" t="n">
        <v>1473</v>
      </c>
      <c r="B95" s="9" t="inlineStr">
        <is>
          <t>Lei 2.889/56</t>
        </is>
      </c>
      <c r="C95" s="9" t="inlineStr">
        <is>
          <t>Art. 3º, §1º c/c art. 1º, b</t>
        </is>
      </c>
      <c r="D95" s="10" t="inlineStr">
        <is>
          <t>https://www.planalto.gov.br/ccivil_03/leis/l2889.htm</t>
        </is>
      </c>
      <c r="E95" t="inlineStr"/>
      <c r="F95" s="8" t="n"/>
      <c r="H95" s="8" t="n"/>
      <c r="J95" s="9" t="n"/>
      <c r="L95" s="9" t="n"/>
      <c r="N95" s="9" t="n"/>
      <c r="P95" s="9" t="n"/>
      <c r="R95" s="9" t="n"/>
      <c r="T95" s="9" t="n"/>
      <c r="V95" s="9" t="n"/>
      <c r="Z95" s="9" t="inlineStr">
        <is>
          <t>Incitação ao genocídio com crime consumado — lesão grave a membros do grupo</t>
        </is>
      </c>
      <c r="AA95" t="inlineStr">
        <is>
          <t>Sim</t>
        </is>
      </c>
    </row>
    <row r="96">
      <c r="A96" t="n">
        <v>1469</v>
      </c>
      <c r="B96" s="9" t="inlineStr">
        <is>
          <t>Lei 2.889/56</t>
        </is>
      </c>
      <c r="C96" s="9" t="inlineStr">
        <is>
          <t>Art. 3º c/c art. 1º, c</t>
        </is>
      </c>
      <c r="D96" s="10" t="inlineStr">
        <is>
          <t>https://www.planalto.gov.br/ccivil_03/leis/l2889.htm</t>
        </is>
      </c>
      <c r="E96" t="inlineStr"/>
      <c r="F96" s="8" t="n"/>
      <c r="H96" s="8" t="n"/>
      <c r="J96" s="9" t="n"/>
      <c r="L96" s="9" t="n"/>
      <c r="N96" s="9" t="n"/>
      <c r="P96" s="9" t="n"/>
      <c r="R96" s="9" t="n"/>
      <c r="T96" s="9" t="n"/>
      <c r="V96" s="9" t="n"/>
      <c r="Z96" s="9" t="inlineStr">
        <is>
          <t>Incitação ao genocídio — condições de existência destrutivas</t>
        </is>
      </c>
      <c r="AA96" t="inlineStr">
        <is>
          <t>Sim</t>
        </is>
      </c>
    </row>
    <row r="97">
      <c r="A97" t="n">
        <v>829</v>
      </c>
      <c r="B97" s="9" t="inlineStr">
        <is>
          <t>LCP (DL 3.688/41)</t>
        </is>
      </c>
      <c r="C97" s="9" t="inlineStr">
        <is>
          <t>Art. 30</t>
        </is>
      </c>
      <c r="D97" s="10" t="inlineStr">
        <is>
          <t>https://www.planalto.gov.br/ccivil_03/decreto-lei/del3688.htm</t>
        </is>
      </c>
      <c r="E97" t="inlineStr"/>
      <c r="F97" s="8" t="n"/>
      <c r="H97" s="8" t="n"/>
      <c r="J97" s="9" t="n"/>
      <c r="L97" s="9" t="n"/>
      <c r="N97" s="9" t="n"/>
      <c r="P97" s="9" t="n"/>
      <c r="R97" s="9" t="n"/>
      <c r="T97" s="9" t="n"/>
      <c r="V97" s="9" t="n"/>
      <c r="Z97" s="9" t="inlineStr">
        <is>
          <t>Perigo de desabamento</t>
        </is>
      </c>
      <c r="AA97" t="inlineStr">
        <is>
          <t>Sim</t>
        </is>
      </c>
    </row>
    <row r="98">
      <c r="A98" t="n">
        <v>1326</v>
      </c>
      <c r="B98" s="9" t="inlineStr">
        <is>
          <t>Lei 7.716/89</t>
        </is>
      </c>
      <c r="C98" s="9" t="inlineStr">
        <is>
          <t>Art. 20, §2º-B</t>
        </is>
      </c>
      <c r="D98" s="10" t="inlineStr">
        <is>
          <t>https://www.planalto.gov.br/ccivil_03/leis/l7716.htm</t>
        </is>
      </c>
      <c r="E98" t="inlineStr"/>
      <c r="F98" s="8" t="n"/>
      <c r="H98" s="8" t="n"/>
      <c r="J98" s="9" t="n"/>
      <c r="L98" s="9" t="n"/>
      <c r="N98" s="9" t="n"/>
      <c r="P98" s="9" t="n"/>
      <c r="R98" s="9" t="n"/>
      <c r="T98" s="9" t="n"/>
      <c r="V98" s="9" t="n"/>
      <c r="Z98" s="9" t="inlineStr">
        <is>
          <t>Obstrução ou violência contra manifestações ou práticas religiosas</t>
        </is>
      </c>
      <c r="AA98" t="inlineStr">
        <is>
          <t>Sim</t>
        </is>
      </c>
    </row>
    <row r="99">
      <c r="A99" t="n">
        <v>904</v>
      </c>
      <c r="B99" s="9" t="inlineStr">
        <is>
          <t>DL 201/67</t>
        </is>
      </c>
      <c r="C99" s="9" t="inlineStr">
        <is>
          <t>Art. 1º, III a XXIII</t>
        </is>
      </c>
      <c r="D99" s="10" t="inlineStr">
        <is>
          <t>https://www.planalto.gov.br/ccivil_03/decreto-lei/del0201.htm</t>
        </is>
      </c>
      <c r="E99" t="inlineStr"/>
      <c r="F99" s="8" t="n"/>
      <c r="H99" s="8" t="n"/>
      <c r="J99" s="9" t="n"/>
      <c r="L99" s="9" t="n"/>
      <c r="N99" s="9" t="n"/>
      <c r="P99" s="9" t="n"/>
      <c r="R99" s="9" t="n"/>
      <c r="T99" s="9" t="n"/>
      <c r="V99" s="9" t="n"/>
      <c r="Z99" s="9" t="inlineStr">
        <is>
          <t>Crime de responsabilidade de prefeito — demais condutas (itens III a XXIII): desvio de verba, contratação irregular, negativa de execução de lei, entre outras</t>
        </is>
      </c>
      <c r="AA99" t="inlineStr">
        <is>
          <t>Sim</t>
        </is>
      </c>
    </row>
    <row r="100">
      <c r="A100" t="n">
        <v>1321</v>
      </c>
      <c r="B100" s="9" t="inlineStr">
        <is>
          <t>ECA</t>
        </is>
      </c>
      <c r="C100" s="9" t="inlineStr">
        <is>
          <t>Art. 240, §1º, II</t>
        </is>
      </c>
      <c r="D100" s="10" t="inlineStr">
        <is>
          <t>https://www.planalto.gov.br/ccivil_03/leis/l8069compilado.htm</t>
        </is>
      </c>
      <c r="E100" t="inlineStr"/>
      <c r="F100" s="8" t="n"/>
      <c r="H100" s="8" t="n"/>
      <c r="J100" s="9" t="n"/>
      <c r="L100" s="9" t="n"/>
      <c r="N100" s="9" t="n"/>
      <c r="P100" s="9" t="n"/>
      <c r="R100" s="9" t="n"/>
      <c r="T100" s="9" t="n"/>
      <c r="V100" s="9" t="n"/>
      <c r="Z100" s="9" t="inlineStr">
        <is>
          <t>Exibição ou transmissão em tempo real, pela internet ou meio digital, de cena de sexo explícito com criança ou adolescente</t>
        </is>
      </c>
      <c r="AA100" t="inlineStr">
        <is>
          <t>Sim</t>
        </is>
      </c>
    </row>
    <row r="101">
      <c r="A101" t="n">
        <v>1530</v>
      </c>
      <c r="B101" s="9" t="inlineStr">
        <is>
          <t>Lei 6.538/78</t>
        </is>
      </c>
      <c r="C101" s="9" t="inlineStr">
        <is>
          <t>Art. 40, §1º</t>
        </is>
      </c>
      <c r="D101" s="10" t="inlineStr">
        <is>
          <t>https://www.planalto.gov.br/ccivil_03/leis/l6538.htm</t>
        </is>
      </c>
      <c r="E101" t="inlineStr"/>
      <c r="F101" s="8" t="n"/>
      <c r="H101" s="8" t="n"/>
      <c r="J101" s="9" t="n"/>
      <c r="L101" s="9" t="n"/>
      <c r="N101" s="9" t="n"/>
      <c r="P101" s="9" t="n"/>
      <c r="R101" s="9" t="n"/>
      <c r="T101" s="9" t="n"/>
      <c r="V101" s="9" t="n"/>
      <c r="Z101" s="9" t="inlineStr">
        <is>
          <t>Sonegação ou destruição de correspondência</t>
        </is>
      </c>
      <c r="AA101" t="inlineStr">
        <is>
          <t>Sim</t>
        </is>
      </c>
    </row>
  </sheetData>
  <dataValidations count="9">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showDropDown="0" showInputMessage="0" showErrorMessage="0" allowBlank="1" type="list">
      <formula1>"Detenção,Impedimento,Morte,Multa,Outras penas,Prisão simples,Reclusão,—"</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showDropDown="0" showInputMessage="0" showErrorMessage="0" allowBlank="1" type="list">
      <formula1>"Sim,Não"</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showDropDown="0" showInputMessage="0" showErrorMessage="0" allowBlank="1" type="list">
      <formula1>"Sim,Não,—"</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showDropDown="0" showInputMessage="0" showErrorMessage="0" allowBlank="1" type="list">
      <formula1>"Sim,Não,—"</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showDropDown="0" showInputMessage="0" showErrorMessage="0" allowBlank="1" type="list">
      <formula1>"Culposo,Doloso,Preterdoloso,Qualificado pelo resultado"</formula1>
    </dataValidation>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showDropDown="0" showInputMessage="0" showErrorMessage="0" allowBlank="1" type="list">
      <formula1>"Sim,Não,—"</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showDropDown="0" showInputMessage="0" showErrorMessage="0" allowBlank="1" type="list">
      <formula1>"Ação Penal Privada,Ação Penal Privada Personalíssima,Pública Condicionada à Representação,Pública Condicionada à Requisição,Pública Incondicionada"</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showDropDown="0" showInputMessage="0" showErrorMessage="0" allowBlank="1" type="list">
      <formula1>"fonte insuficiente,juízo discutível"</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showDropDown="0" showInputMessage="0" showErrorMessage="0" allowBlank="1" type="list">
      <formula1>"confere,diverge,fonte insuficiente,juízo discutível"</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8" customWidth="1" min="3" max="3"/>
    <col width="40" customWidth="1" min="4" max="4"/>
    <col width="7" customWidth="1" min="5" max="5"/>
    <col width="13" customWidth="1" min="6" max="6"/>
    <col width="16" customWidth="1" min="7" max="7"/>
    <col width="13" customWidth="1" min="8" max="8"/>
    <col width="16" customWidth="1" min="9" max="9"/>
    <col width="13" customWidth="1" min="10" max="10"/>
    <col width="16" customWidth="1" min="11" max="11"/>
    <col width="13" customWidth="1" min="12" max="12"/>
    <col width="16" customWidth="1" min="13" max="13"/>
    <col width="13" customWidth="1" min="14" max="14"/>
    <col width="16" customWidth="1" min="15" max="15"/>
    <col width="13" customWidth="1" min="16" max="16"/>
    <col width="16" customWidth="1" min="17" max="17"/>
    <col width="13" customWidth="1" min="18" max="18"/>
    <col width="16" customWidth="1" min="19" max="19"/>
    <col width="13" customWidth="1" min="20" max="20"/>
    <col width="16" customWidth="1" min="21" max="21"/>
    <col width="13" customWidth="1" min="22" max="22"/>
    <col width="16" customWidth="1" min="23" max="23"/>
    <col width="9" customWidth="1" min="24" max="24"/>
    <col width="28" customWidth="1" min="25" max="25"/>
    <col width="50" customWidth="1" min="26" max="26"/>
    <col width="10" customWidth="1" min="27" max="27"/>
    <col width="16" customWidth="1" min="28" max="28"/>
    <col width="16" customWidth="1" min="29" max="29"/>
  </cols>
  <sheetData>
    <row r="1">
      <c r="A1" s="4" t="inlineStr">
        <is>
          <t>id</t>
        </is>
      </c>
      <c r="B1" s="4" t="inlineStr">
        <is>
          <t>diploma</t>
        </is>
      </c>
      <c r="C1" s="4" t="inlineStr">
        <is>
          <t>dispositivo</t>
        </is>
      </c>
      <c r="D1" s="4" t="inlineStr">
        <is>
          <t>link do compilado</t>
        </is>
      </c>
      <c r="E1" s="4" t="inlineStr">
        <is>
          <t>dupla</t>
        </is>
      </c>
      <c r="F1" s="4" t="inlineStr">
        <is>
          <t>pena mínima (meses)</t>
        </is>
      </c>
      <c r="G1" s="4" t="inlineStr">
        <is>
          <t>ressalva</t>
        </is>
      </c>
      <c r="H1" s="4" t="inlineStr">
        <is>
          <t>pena máxima (meses)</t>
        </is>
      </c>
      <c r="I1" s="4" t="inlineStr">
        <is>
          <t>ressalva</t>
        </is>
      </c>
      <c r="J1" s="4" t="inlineStr">
        <is>
          <t>espécie de pena</t>
        </is>
      </c>
      <c r="K1" s="4" t="inlineStr">
        <is>
          <t>ressalva</t>
        </is>
      </c>
      <c r="L1" s="4" t="inlineStr">
        <is>
          <t>hediondo</t>
        </is>
      </c>
      <c r="M1" s="4" t="inlineStr">
        <is>
          <t>ressalva</t>
        </is>
      </c>
      <c r="N1" s="4" t="inlineStr">
        <is>
          <t>violência</t>
        </is>
      </c>
      <c r="O1" s="4" t="inlineStr">
        <is>
          <t>ressalva</t>
        </is>
      </c>
      <c r="P1" s="4" t="inlineStr">
        <is>
          <t>grave ameaça</t>
        </is>
      </c>
      <c r="Q1" s="4" t="inlineStr">
        <is>
          <t>ressalva</t>
        </is>
      </c>
      <c r="R1" s="4" t="inlineStr">
        <is>
          <t>elemento subjetivo</t>
        </is>
      </c>
      <c r="S1" s="4" t="inlineStr">
        <is>
          <t>ressalva</t>
        </is>
      </c>
      <c r="T1" s="4" t="inlineStr">
        <is>
          <t>admite tentativa</t>
        </is>
      </c>
      <c r="U1" s="4" t="inlineStr">
        <is>
          <t>ressalva</t>
        </is>
      </c>
      <c r="V1" s="4" t="inlineStr">
        <is>
          <t>ação penal</t>
        </is>
      </c>
      <c r="W1" s="4" t="inlineStr">
        <is>
          <t>ressalva</t>
        </is>
      </c>
      <c r="X1" s="4" t="inlineStr">
        <is>
          <t>tempo (min)</t>
        </is>
      </c>
      <c r="Y1" s="4" t="inlineStr">
        <is>
          <t>observações</t>
        </is>
      </c>
      <c r="Z1" s="4" t="inlineStr">
        <is>
          <t>nome publicado</t>
        </is>
      </c>
      <c r="AA1" s="4" t="inlineStr">
        <is>
          <t>vigente (publicado)</t>
        </is>
      </c>
      <c r="AB1" s="4" t="inlineStr">
        <is>
          <t>nome confere?</t>
        </is>
      </c>
      <c r="AC1" s="4" t="inlineStr">
        <is>
          <t>vigência confere?</t>
        </is>
      </c>
    </row>
    <row r="2">
      <c r="A2" s="5" t="n">
        <v>165</v>
      </c>
      <c r="B2" s="6" t="inlineStr">
        <is>
          <t>CP</t>
        </is>
      </c>
      <c r="C2" s="6" t="inlineStr">
        <is>
          <t>Art. 211</t>
        </is>
      </c>
      <c r="D2" s="7" t="inlineStr">
        <is>
          <t>https://www.planalto.gov.br/ccivil_03/decreto-lei/del2848compilado.htm</t>
        </is>
      </c>
      <c r="E2" s="5" t="inlineStr">
        <is>
          <t>sim</t>
        </is>
      </c>
      <c r="F2" s="8" t="n"/>
      <c r="H2" s="8" t="n"/>
      <c r="J2" s="9" t="n"/>
      <c r="L2" s="9" t="n"/>
      <c r="N2" s="9" t="n"/>
      <c r="P2" s="9" t="n"/>
      <c r="R2" s="9" t="n"/>
      <c r="T2" s="9" t="n"/>
      <c r="V2" s="9" t="n"/>
      <c r="Z2" s="9" t="inlineStr">
        <is>
          <t>Destruição, subtração ou ocultação de cadáver</t>
        </is>
      </c>
      <c r="AA2" t="inlineStr">
        <is>
          <t>Sim</t>
        </is>
      </c>
    </row>
    <row r="3">
      <c r="A3" s="5" t="n">
        <v>1335</v>
      </c>
      <c r="B3" s="6" t="inlineStr">
        <is>
          <t>CP</t>
        </is>
      </c>
      <c r="C3" s="6" t="inlineStr">
        <is>
          <t>Art. 254 (no caso de culpa)</t>
        </is>
      </c>
      <c r="D3" s="7" t="inlineStr">
        <is>
          <t>https://www.planalto.gov.br/ccivil_03/decreto-lei/del2848compilado.htm</t>
        </is>
      </c>
      <c r="E3" s="5" t="inlineStr">
        <is>
          <t>sim</t>
        </is>
      </c>
      <c r="F3" s="8" t="n"/>
      <c r="H3" s="8" t="n"/>
      <c r="J3" s="9" t="n"/>
      <c r="L3" s="9" t="n"/>
      <c r="N3" s="9" t="n"/>
      <c r="P3" s="9" t="n"/>
      <c r="R3" s="9" t="n"/>
      <c r="T3" s="9" t="n"/>
      <c r="V3" s="9" t="n"/>
      <c r="Z3" s="9" t="inlineStr">
        <is>
          <t>Inundação — modalidade culposa</t>
        </is>
      </c>
      <c r="AA3" t="inlineStr">
        <is>
          <t>Sim</t>
        </is>
      </c>
    </row>
    <row r="4">
      <c r="A4" s="5" t="n">
        <v>172</v>
      </c>
      <c r="B4" s="6" t="inlineStr">
        <is>
          <t>CP</t>
        </is>
      </c>
      <c r="C4" s="6" t="inlineStr">
        <is>
          <t>Art. 235</t>
        </is>
      </c>
      <c r="D4" s="7" t="inlineStr">
        <is>
          <t>https://www.planalto.gov.br/ccivil_03/decreto-lei/del2848compilado.htm</t>
        </is>
      </c>
      <c r="E4" s="5" t="inlineStr">
        <is>
          <t>sim</t>
        </is>
      </c>
      <c r="F4" s="8" t="n"/>
      <c r="H4" s="8" t="n"/>
      <c r="J4" s="9" t="n"/>
      <c r="L4" s="9" t="n"/>
      <c r="N4" s="9" t="n"/>
      <c r="P4" s="9" t="n"/>
      <c r="R4" s="9" t="n"/>
      <c r="T4" s="9" t="n"/>
      <c r="V4" s="9" t="n"/>
      <c r="Z4" s="9" t="inlineStr">
        <is>
          <t>Bigamia</t>
        </is>
      </c>
      <c r="AA4" t="inlineStr">
        <is>
          <t>Sim</t>
        </is>
      </c>
    </row>
    <row r="5">
      <c r="A5" s="5" t="n">
        <v>994</v>
      </c>
      <c r="B5" s="6" t="inlineStr">
        <is>
          <t>CP</t>
        </is>
      </c>
      <c r="C5" s="6" t="inlineStr">
        <is>
          <t>Art. 162, caput</t>
        </is>
      </c>
      <c r="D5" s="7" t="inlineStr">
        <is>
          <t>https://www.planalto.gov.br/ccivil_03/decreto-lei/del2848compilado.htm</t>
        </is>
      </c>
      <c r="E5" s="5" t="inlineStr">
        <is>
          <t>sim</t>
        </is>
      </c>
      <c r="F5" s="8" t="n"/>
      <c r="H5" s="8" t="n"/>
      <c r="J5" s="9" t="n"/>
      <c r="L5" s="9" t="n"/>
      <c r="N5" s="9" t="n"/>
      <c r="P5" s="9" t="n"/>
      <c r="R5" s="9" t="n"/>
      <c r="T5" s="9" t="n"/>
      <c r="V5" s="9" t="n"/>
      <c r="Z5" s="9" t="inlineStr">
        <is>
          <t>Alteração de marca ou sinal indicativo de propriedade de gado ou rebanho</t>
        </is>
      </c>
      <c r="AA5" t="inlineStr">
        <is>
          <t>Sim</t>
        </is>
      </c>
    </row>
    <row r="6">
      <c r="A6" s="5" t="n">
        <v>70</v>
      </c>
      <c r="B6" s="6" t="inlineStr">
        <is>
          <t>CP</t>
        </is>
      </c>
      <c r="C6" s="6" t="inlineStr">
        <is>
          <t>Art. 148, §1º</t>
        </is>
      </c>
      <c r="D6" s="7" t="inlineStr">
        <is>
          <t>https://www.planalto.gov.br/ccivil_03/decreto-lei/del2848compilado.htm</t>
        </is>
      </c>
      <c r="E6" s="5" t="inlineStr">
        <is>
          <t>sim</t>
        </is>
      </c>
      <c r="F6" s="8" t="n"/>
      <c r="H6" s="8" t="n"/>
      <c r="J6" s="9" t="n"/>
      <c r="L6" s="9" t="n"/>
      <c r="N6" s="9" t="n"/>
      <c r="P6" s="9" t="n"/>
      <c r="R6" s="9" t="n"/>
      <c r="T6" s="9" t="n"/>
      <c r="V6" s="9" t="n"/>
      <c r="Z6" s="9" t="inlineStr">
        <is>
          <t>Sequestro qualificado (fins libidinosos, menor de 18, maus-tratos, mais de 15 dias)</t>
        </is>
      </c>
      <c r="AA6" t="inlineStr">
        <is>
          <t>Sim</t>
        </is>
      </c>
    </row>
    <row r="7">
      <c r="A7" s="5" t="n">
        <v>66</v>
      </c>
      <c r="B7" s="6" t="inlineStr">
        <is>
          <t>CP</t>
        </is>
      </c>
      <c r="C7" s="6" t="inlineStr">
        <is>
          <t>Art. 147</t>
        </is>
      </c>
      <c r="D7" s="7" t="inlineStr">
        <is>
          <t>https://www.planalto.gov.br/ccivil_03/decreto-lei/del2848compilado.htm</t>
        </is>
      </c>
      <c r="E7" s="5" t="inlineStr">
        <is>
          <t>sim</t>
        </is>
      </c>
      <c r="F7" s="8" t="n"/>
      <c r="H7" s="8" t="n"/>
      <c r="J7" s="9" t="n"/>
      <c r="L7" s="9" t="n"/>
      <c r="N7" s="9" t="n"/>
      <c r="P7" s="9" t="n"/>
      <c r="R7" s="9" t="n"/>
      <c r="T7" s="9" t="n"/>
      <c r="V7" s="9" t="n"/>
      <c r="Z7" s="9" t="inlineStr">
        <is>
          <t>Ameaça</t>
        </is>
      </c>
      <c r="AA7" t="inlineStr">
        <is>
          <t>Sim</t>
        </is>
      </c>
    </row>
    <row r="8">
      <c r="A8" s="5" t="n">
        <v>706</v>
      </c>
      <c r="B8" s="6" t="inlineStr">
        <is>
          <t>CPM (DL 1.001/69)</t>
        </is>
      </c>
      <c r="C8" s="6" t="inlineStr">
        <is>
          <t>Art. 291, caput</t>
        </is>
      </c>
      <c r="D8" s="7" t="inlineStr">
        <is>
          <t>https://www.planalto.gov.br/ccivil_03/decreto-lei/del1001compilado.htm</t>
        </is>
      </c>
      <c r="E8" s="5" t="inlineStr">
        <is>
          <t>sim</t>
        </is>
      </c>
      <c r="F8" s="8" t="n"/>
      <c r="H8" s="8" t="n"/>
      <c r="J8" s="9" t="n"/>
      <c r="L8" s="9" t="n"/>
      <c r="N8" s="9" t="n"/>
      <c r="P8" s="9" t="n"/>
      <c r="R8" s="9" t="n"/>
      <c r="T8" s="9" t="n"/>
      <c r="V8" s="9" t="n"/>
      <c r="Z8" s="9" t="inlineStr">
        <is>
          <t>Receita ilegal</t>
        </is>
      </c>
      <c r="AA8" t="inlineStr">
        <is>
          <t>Sim</t>
        </is>
      </c>
    </row>
    <row r="9">
      <c r="A9" s="5" t="n">
        <v>1196</v>
      </c>
      <c r="B9" s="6" t="inlineStr">
        <is>
          <t>CPM (DL 1.001/69)</t>
        </is>
      </c>
      <c r="C9" s="6" t="inlineStr">
        <is>
          <t>Art. 326, caput</t>
        </is>
      </c>
      <c r="D9" s="7" t="inlineStr">
        <is>
          <t>https://www.planalto.gov.br/ccivil_03/decreto-lei/del1001compilado.htm</t>
        </is>
      </c>
      <c r="E9" s="5" t="inlineStr">
        <is>
          <t>sim</t>
        </is>
      </c>
      <c r="F9" s="8" t="n"/>
      <c r="H9" s="8" t="n"/>
      <c r="J9" s="9" t="n"/>
      <c r="L9" s="9" t="n"/>
      <c r="N9" s="9" t="n"/>
      <c r="P9" s="9" t="n"/>
      <c r="R9" s="9" t="n"/>
      <c r="T9" s="9" t="n"/>
      <c r="V9" s="9" t="n"/>
      <c r="Z9" s="9" t="inlineStr">
        <is>
          <t>Violação de sigilo funcional</t>
        </is>
      </c>
      <c r="AA9" t="inlineStr">
        <is>
          <t>Sim</t>
        </is>
      </c>
    </row>
    <row r="10">
      <c r="A10" s="5" t="n">
        <v>1108</v>
      </c>
      <c r="B10" s="6" t="inlineStr">
        <is>
          <t>CPM (DL 1.001/69)</t>
        </is>
      </c>
      <c r="C10" s="6" t="inlineStr">
        <is>
          <t>Art. 235, caput</t>
        </is>
      </c>
      <c r="D10" s="7" t="inlineStr">
        <is>
          <t>https://www.planalto.gov.br/ccivil_03/decreto-lei/del1001compilado.htm</t>
        </is>
      </c>
      <c r="E10" s="5" t="inlineStr">
        <is>
          <t>sim</t>
        </is>
      </c>
      <c r="F10" s="8" t="n"/>
      <c r="H10" s="8" t="n"/>
      <c r="J10" s="9" t="n"/>
      <c r="L10" s="9" t="n"/>
      <c r="N10" s="9" t="n"/>
      <c r="P10" s="9" t="n"/>
      <c r="R10" s="9" t="n"/>
      <c r="T10" s="9" t="n"/>
      <c r="V10" s="9" t="n"/>
      <c r="Z10" s="9" t="inlineStr">
        <is>
          <t>Ato de libidinagem</t>
        </is>
      </c>
      <c r="AA10" t="inlineStr">
        <is>
          <t>Sim</t>
        </is>
      </c>
    </row>
    <row r="11">
      <c r="A11" s="5" t="n">
        <v>1050</v>
      </c>
      <c r="B11" s="6" t="inlineStr">
        <is>
          <t>CPM (DL 1.001/69)</t>
        </is>
      </c>
      <c r="C11" s="6" t="inlineStr">
        <is>
          <t>Art. 172, caput</t>
        </is>
      </c>
      <c r="D11" s="7" t="inlineStr">
        <is>
          <t>https://www.planalto.gov.br/ccivil_03/decreto-lei/del1001compilado.htm</t>
        </is>
      </c>
      <c r="E11" s="5" t="inlineStr">
        <is>
          <t>sim</t>
        </is>
      </c>
      <c r="F11" s="8" t="n"/>
      <c r="H11" s="8" t="n"/>
      <c r="J11" s="9" t="n"/>
      <c r="L11" s="9" t="n"/>
      <c r="N11" s="9" t="n"/>
      <c r="P11" s="9" t="n"/>
      <c r="R11" s="9" t="n"/>
      <c r="T11" s="9" t="n"/>
      <c r="V11" s="9" t="n"/>
      <c r="Z11" s="9" t="inlineStr">
        <is>
          <t>Uso indevido de uniforme, distintivo ou insígnia militar por qualquer pessoa</t>
        </is>
      </c>
      <c r="AA11" t="inlineStr">
        <is>
          <t>Sim</t>
        </is>
      </c>
    </row>
    <row r="12">
      <c r="A12" s="5" t="n">
        <v>1437</v>
      </c>
      <c r="B12" s="6" t="inlineStr">
        <is>
          <t>CPM (DL 1.001/69)</t>
        </is>
      </c>
      <c r="C12" s="6" t="inlineStr">
        <is>
          <t>Art. 404 c/c art. 240, §5º</t>
        </is>
      </c>
      <c r="D12" s="7" t="inlineStr">
        <is>
          <t>https://www.planalto.gov.br/ccivil_03/decreto-lei/del1001compilado.htm</t>
        </is>
      </c>
      <c r="E12" s="5" t="inlineStr">
        <is>
          <t>sim</t>
        </is>
      </c>
      <c r="F12" s="8" t="n"/>
      <c r="H12" s="8" t="n"/>
      <c r="J12" s="9" t="n"/>
      <c r="L12" s="9" t="n"/>
      <c r="N12" s="9" t="n"/>
      <c r="P12" s="9" t="n"/>
      <c r="R12" s="9" t="n"/>
      <c r="T12" s="9" t="n"/>
      <c r="V12" s="9" t="n"/>
      <c r="Z12" s="9" t="inlineStr">
        <is>
          <t>Furto qualificado — coisa pertencente à Fazenda Pública (tempo de guerra)</t>
        </is>
      </c>
      <c r="AA12" t="inlineStr">
        <is>
          <t>Sim</t>
        </is>
      </c>
    </row>
    <row r="13">
      <c r="A13" s="5" t="n">
        <v>1298</v>
      </c>
      <c r="B13" s="6" t="inlineStr">
        <is>
          <t>Lei 1.521/51</t>
        </is>
      </c>
      <c r="C13" s="6" t="inlineStr">
        <is>
          <t>Art. 4º, b</t>
        </is>
      </c>
      <c r="D13" s="7" t="inlineStr">
        <is>
          <t>https://www.planalto.gov.br/ccivil_03/leis/l1521.htm</t>
        </is>
      </c>
      <c r="E13" s="5" t="inlineStr">
        <is>
          <t>sim</t>
        </is>
      </c>
      <c r="F13" s="8" t="n"/>
      <c r="H13" s="8" t="n"/>
      <c r="J13" s="9" t="n"/>
      <c r="L13" s="9" t="n"/>
      <c r="N13" s="9" t="n"/>
      <c r="P13" s="9" t="n"/>
      <c r="R13" s="9" t="n"/>
      <c r="T13" s="9" t="n"/>
      <c r="V13" s="9" t="n"/>
      <c r="Z13" s="9" t="inlineStr">
        <is>
          <t>Usura real</t>
        </is>
      </c>
      <c r="AA13" t="inlineStr">
        <is>
          <t>Sim</t>
        </is>
      </c>
    </row>
    <row r="14">
      <c r="A14" s="5" t="n">
        <v>941</v>
      </c>
      <c r="B14" s="6" t="inlineStr">
        <is>
          <t>CE (Lei 4.737/65)</t>
        </is>
      </c>
      <c r="C14" s="6" t="inlineStr">
        <is>
          <t>Art. 335</t>
        </is>
      </c>
      <c r="D14" s="7" t="inlineStr">
        <is>
          <t>https://www.planalto.gov.br/ccivil_03/leis/l4737compilado.htm</t>
        </is>
      </c>
      <c r="E14" s="5" t="inlineStr">
        <is>
          <t>sim</t>
        </is>
      </c>
      <c r="F14" s="8" t="n"/>
      <c r="H14" s="8" t="n"/>
      <c r="J14" s="9" t="n"/>
      <c r="L14" s="9" t="n"/>
      <c r="N14" s="9" t="n"/>
      <c r="P14" s="9" t="n"/>
      <c r="R14" s="9" t="n"/>
      <c r="T14" s="9" t="n"/>
      <c r="V14" s="9" t="n"/>
      <c r="Z14" s="9" t="inlineStr">
        <is>
          <t>Propaganda eleitoral em língua estrangeira</t>
        </is>
      </c>
      <c r="AA14" t="inlineStr">
        <is>
          <t>Sim</t>
        </is>
      </c>
    </row>
    <row r="15">
      <c r="A15" s="5" t="n">
        <v>786</v>
      </c>
      <c r="B15" s="6" t="inlineStr">
        <is>
          <t>CE (Lei 4.737/65)</t>
        </is>
      </c>
      <c r="C15" s="6" t="inlineStr">
        <is>
          <t>Art. 324</t>
        </is>
      </c>
      <c r="D15" s="7" t="inlineStr">
        <is>
          <t>https://www.planalto.gov.br/ccivil_03/leis/l4737compilado.htm</t>
        </is>
      </c>
      <c r="E15" s="5" t="inlineStr">
        <is>
          <t>sim</t>
        </is>
      </c>
      <c r="F15" s="8" t="n"/>
      <c r="H15" s="8" t="n"/>
      <c r="J15" s="9" t="n"/>
      <c r="L15" s="9" t="n"/>
      <c r="N15" s="9" t="n"/>
      <c r="P15" s="9" t="n"/>
      <c r="R15" s="9" t="n"/>
      <c r="T15" s="9" t="n"/>
      <c r="V15" s="9" t="n"/>
      <c r="Z15" s="9" t="inlineStr">
        <is>
          <t>Calúnia eleitoral</t>
        </is>
      </c>
      <c r="AA15" t="inlineStr">
        <is>
          <t>Sim</t>
        </is>
      </c>
    </row>
    <row r="16">
      <c r="A16" s="5" t="n">
        <v>660</v>
      </c>
      <c r="B16" s="6" t="inlineStr">
        <is>
          <t>Lei 8.137/90</t>
        </is>
      </c>
      <c r="C16" s="6" t="inlineStr">
        <is>
          <t>Art. 1º, II</t>
        </is>
      </c>
      <c r="D16" s="7" t="inlineStr">
        <is>
          <t>https://www.planalto.gov.br/ccivil_03/leis/l8137.htm</t>
        </is>
      </c>
      <c r="E16" s="5" t="inlineStr">
        <is>
          <t>sim</t>
        </is>
      </c>
      <c r="F16" s="8" t="n"/>
      <c r="H16" s="8" t="n"/>
      <c r="J16" s="9" t="n"/>
      <c r="L16" s="9" t="n"/>
      <c r="N16" s="9" t="n"/>
      <c r="P16" s="9" t="n"/>
      <c r="R16" s="9" t="n"/>
      <c r="T16" s="9" t="n"/>
      <c r="V16" s="9" t="n"/>
      <c r="Z16" s="9" t="inlineStr">
        <is>
          <t>Supressão ou redução de tributo — fraude à fiscalização tributária</t>
        </is>
      </c>
      <c r="AA16" t="inlineStr">
        <is>
          <t>Sim</t>
        </is>
      </c>
    </row>
    <row r="17">
      <c r="A17" s="5" t="n">
        <v>884</v>
      </c>
      <c r="B17" s="6" t="inlineStr">
        <is>
          <t>Lei 6.538/78</t>
        </is>
      </c>
      <c r="C17" s="6" t="inlineStr">
        <is>
          <t>Art. 40</t>
        </is>
      </c>
      <c r="D17" s="7" t="inlineStr">
        <is>
          <t>https://www.planalto.gov.br/ccivil_03/leis/l6538.htm</t>
        </is>
      </c>
      <c r="E17" s="5" t="inlineStr">
        <is>
          <t>sim</t>
        </is>
      </c>
      <c r="F17" s="8" t="n"/>
      <c r="H17" s="8" t="n"/>
      <c r="J17" s="9" t="n"/>
      <c r="L17" s="9" t="n"/>
      <c r="N17" s="9" t="n"/>
      <c r="P17" s="9" t="n"/>
      <c r="R17" s="9" t="n"/>
      <c r="T17" s="9" t="n"/>
      <c r="V17" s="9" t="n"/>
      <c r="Z17" s="9" t="inlineStr">
        <is>
          <t>Violação de correspondência</t>
        </is>
      </c>
      <c r="AA17" t="inlineStr">
        <is>
          <t>Sim</t>
        </is>
      </c>
    </row>
    <row r="18">
      <c r="A18" s="5" t="n">
        <v>846</v>
      </c>
      <c r="B18" s="6" t="inlineStr">
        <is>
          <t>LCP (DL 3.688/41)</t>
        </is>
      </c>
      <c r="C18" s="6" t="inlineStr">
        <is>
          <t>Art. 55</t>
        </is>
      </c>
      <c r="D18" s="7" t="inlineStr">
        <is>
          <t>https://www.planalto.gov.br/ccivil_03/decreto-lei/del3688.htm</t>
        </is>
      </c>
      <c r="E18" s="5" t="inlineStr">
        <is>
          <t>sim</t>
        </is>
      </c>
      <c r="F18" s="8" t="n"/>
      <c r="H18" s="8" t="n"/>
      <c r="J18" s="9" t="n"/>
      <c r="L18" s="9" t="n"/>
      <c r="N18" s="9" t="n"/>
      <c r="P18" s="9" t="n"/>
      <c r="R18" s="9" t="n"/>
      <c r="T18" s="9" t="n"/>
      <c r="V18" s="9" t="n"/>
      <c r="Z18" s="9" t="inlineStr">
        <is>
          <t>Impressão de bilhetes, listas de sorteio, avisos ou cartazes de loteria onde ela não possa legalmente circular</t>
        </is>
      </c>
      <c r="AA18" t="inlineStr">
        <is>
          <t>Sim</t>
        </is>
      </c>
    </row>
    <row r="19">
      <c r="A19" s="5" t="n">
        <v>433</v>
      </c>
      <c r="B19" s="6" t="inlineStr">
        <is>
          <t>Lei 13.869/19</t>
        </is>
      </c>
      <c r="C19" s="6" t="inlineStr">
        <is>
          <t>Art. 21</t>
        </is>
      </c>
      <c r="D19" s="7" t="inlineStr">
        <is>
          <t>https://www.planalto.gov.br/ccivil_03/_ato2019-2022/2019/lei/l13869.htm</t>
        </is>
      </c>
      <c r="E19" s="5" t="inlineStr">
        <is>
          <t>sim</t>
        </is>
      </c>
      <c r="F19" s="8" t="n"/>
      <c r="H19" s="8" t="n"/>
      <c r="J19" s="9" t="n"/>
      <c r="L19" s="9" t="n"/>
      <c r="N19" s="9" t="n"/>
      <c r="P19" s="9" t="n"/>
      <c r="R19" s="9" t="n"/>
      <c r="T19" s="9" t="n"/>
      <c r="V19" s="9" t="n"/>
      <c r="Z19" s="9" t="inlineStr">
        <is>
          <t>Manutenção de presos de sexos diferentes na mesma cela ou espaço de confinamento</t>
        </is>
      </c>
      <c r="AA19" t="inlineStr">
        <is>
          <t>Sim</t>
        </is>
      </c>
    </row>
    <row r="20">
      <c r="A20" s="5" t="n">
        <v>547</v>
      </c>
      <c r="B20" s="6" t="inlineStr">
        <is>
          <t>Lei 1.579/52</t>
        </is>
      </c>
      <c r="C20" s="6" t="inlineStr">
        <is>
          <t>Art. 4º, I</t>
        </is>
      </c>
      <c r="D20" s="7" t="inlineStr">
        <is>
          <t>https://www.planalto.gov.br/ccivil_03/leis/l1579.htm</t>
        </is>
      </c>
      <c r="E20" s="5" t="inlineStr">
        <is>
          <t>sim</t>
        </is>
      </c>
      <c r="F20" s="8" t="n"/>
      <c r="H20" s="8" t="n"/>
      <c r="J20" s="9" t="n"/>
      <c r="L20" s="9" t="n"/>
      <c r="N20" s="9" t="n"/>
      <c r="P20" s="9" t="n"/>
      <c r="R20" s="9" t="n"/>
      <c r="T20" s="9" t="n"/>
      <c r="V20" s="9" t="n"/>
      <c r="Z20" s="9" t="inlineStr">
        <is>
          <t>Impedimento ou tentativa de impedimento de funcionamento de CPI</t>
        </is>
      </c>
      <c r="AA20" t="inlineStr">
        <is>
          <t>Sim</t>
        </is>
      </c>
    </row>
    <row r="21">
      <c r="A21" s="5" t="n">
        <v>1320</v>
      </c>
      <c r="B21" s="6" t="inlineStr">
        <is>
          <t>ECA</t>
        </is>
      </c>
      <c r="C21" s="6" t="inlineStr">
        <is>
          <t>Art. 240, §1º, I</t>
        </is>
      </c>
      <c r="D21" s="7" t="inlineStr">
        <is>
          <t>https://www.planalto.gov.br/ccivil_03/leis/l8069compilado.htm</t>
        </is>
      </c>
      <c r="E21" s="5" t="inlineStr">
        <is>
          <t>sim</t>
        </is>
      </c>
      <c r="F21" s="8" t="n"/>
      <c r="H21" s="8" t="n"/>
      <c r="J21" s="9" t="n"/>
      <c r="L21" s="9" t="n"/>
      <c r="N21" s="9" t="n"/>
      <c r="P21" s="9" t="n"/>
      <c r="R21" s="9" t="n"/>
      <c r="T21" s="9" t="n"/>
      <c r="V21" s="9" t="n"/>
      <c r="Z21" s="9" t="inlineStr">
        <is>
          <t>Agenciamento, recrutamento ou intermediação da participação de criança ou adolescente em cena de sexo explícito</t>
        </is>
      </c>
      <c r="AA21" t="inlineStr">
        <is>
          <t>Sim</t>
        </is>
      </c>
    </row>
  </sheetData>
  <dataValidations count="9">
    <dataValidation sqref="J2 J3 J4 J5 J6 J7 J8 J9 J10 J11 J12 J13 J14 J15 J16 J17 J18 J19 J20 J21" showDropDown="0" showInputMessage="0" showErrorMessage="0" allowBlank="1" type="list">
      <formula1>"Detenção,Impedimento,Morte,Multa,Outras penas,Prisão simples,Reclusão,—"</formula1>
    </dataValidation>
    <dataValidation sqref="L2 L3 L4 L5 L6 L7 L8 L9 L10 L11 L12 L13 L14 L15 L16 L17 L18 L19 L20 L21" showDropDown="0" showInputMessage="0" showErrorMessage="0" allowBlank="1" type="list">
      <formula1>"Sim,Não"</formula1>
    </dataValidation>
    <dataValidation sqref="N2 N3 N4 N5 N6 N7 N8 N9 N10 N11 N12 N13 N14 N15 N16 N17 N18 N19 N20 N21" showDropDown="0" showInputMessage="0" showErrorMessage="0" allowBlank="1" type="list">
      <formula1>"Sim,Não,—"</formula1>
    </dataValidation>
    <dataValidation sqref="P2 P3 P4 P5 P6 P7 P8 P9 P10 P11 P12 P13 P14 P15 P16 P17 P18 P19 P20 P21" showDropDown="0" showInputMessage="0" showErrorMessage="0" allowBlank="1" type="list">
      <formula1>"Sim,Não,—"</formula1>
    </dataValidation>
    <dataValidation sqref="R2 R3 R4 R5 R6 R7 R8 R9 R10 R11 R12 R13 R14 R15 R16 R17 R18 R19 R20 R21" showDropDown="0" showInputMessage="0" showErrorMessage="0" allowBlank="1" type="list">
      <formula1>"Culposo,Doloso,Preterdoloso,Qualificado pelo resultado"</formula1>
    </dataValidation>
    <dataValidation sqref="T2 T3 T4 T5 T6 T7 T8 T9 T10 T11 T12 T13 T14 T15 T16 T17 T18 T19 T20 T21" showDropDown="0" showInputMessage="0" showErrorMessage="0" allowBlank="1" type="list">
      <formula1>"Sim,Não,—"</formula1>
    </dataValidation>
    <dataValidation sqref="V2 V3 V4 V5 V6 V7 V8 V9 V10 V11 V12 V13 V14 V15 V16 V17 V18 V19 V20 V21" showDropDown="0" showInputMessage="0" showErrorMessage="0" allowBlank="1" type="list">
      <formula1>"Ação Penal Privada,Ação Penal Privada Personalíssima,Pública Condicionada à Representação,Pública Condicionada à Requisição,Pública Incondicionada"</formula1>
    </dataValidation>
    <dataValidation sqref="G2 G3 G4 G5 G6 G7 G8 G9 G10 G11 G12 G13 G14 G15 G16 G17 G18 G19 G20 G21 I2 I3 I4 I5 I6 I7 I8 I9 I10 I11 I12 I13 I14 I15 I16 I17 I18 I19 I20 I21 K2 K3 K4 K5 K6 K7 K8 K9 K10 K11 K12 K13 K14 K15 K16 K17 K18 K19 K20 K21 M2 M3 M4 M5 M6 M7 M8 M9 M10 M11 M12 M13 M14 M15 M16 M17 M18 M19 M20 M21 O2 O3 O4 O5 O6 O7 O8 O9 O10 O11 O12 O13 O14 O15 O16 O17 O18 O19 O20 O21 Q2 Q3 Q4 Q5 Q6 Q7 Q8 Q9 Q10 Q11 Q12 Q13 Q14 Q15 Q16 Q17 Q18 Q19 Q20 Q21 S2 S3 S4 S5 S6 S7 S8 S9 S10 S11 S12 S13 S14 S15 S16 S17 S18 S19 S20 S21 U2 U3 U4 U5 U6 U7 U8 U9 U10 U11 U12 U13 U14 U15 U16 U17 U18 U19 U20 U21 W2 W3 W4 W5 W6 W7 W8 W9 W10 W11 W12 W13 W14 W15 W16 W17 W18 W19 W20 W21" showDropDown="0" showInputMessage="0" showErrorMessage="0" allowBlank="1" type="list">
      <formula1>"fonte insuficiente,juízo discutível"</formula1>
    </dataValidation>
    <dataValidation sqref="AB2 AB3 AB4 AB5 AB6 AB7 AB8 AB9 AB10 AB11 AB12 AB13 AB14 AB15 AB16 AB17 AB18 AB19 AB20 AB21 AC2 AC3 AC4 AC5 AC6 AC7 AC8 AC9 AC10 AC11 AC12 AC13 AC14 AC15 AC16 AC17 AC18 AC19 AC20 AC21" showDropDown="0" showInputMessage="0" showErrorMessage="0" allowBlank="1" type="list">
      <formula1>"confere,diverge,fonte insuficiente,juízo discutível"</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2" customWidth="1" min="14" max="14"/>
    <col width="16" customWidth="1" min="15" max="15"/>
  </cols>
  <sheetData>
    <row r="1">
      <c r="A1" s="4" t="inlineStr">
        <is>
          <t>id</t>
        </is>
      </c>
      <c r="B1" s="4" t="inlineStr">
        <is>
          <t>estrato</t>
        </is>
      </c>
      <c r="C1" s="4" t="inlineStr">
        <is>
          <t>pena_min</t>
        </is>
      </c>
      <c r="D1" s="4" t="inlineStr">
        <is>
          <t>pena_max</t>
        </is>
      </c>
      <c r="E1" s="4" t="inlineStr">
        <is>
          <t>tipo_pena</t>
        </is>
      </c>
      <c r="F1" s="4" t="inlineStr">
        <is>
          <t>hediondo</t>
        </is>
      </c>
      <c r="G1" s="4" t="inlineStr">
        <is>
          <t>violencia</t>
        </is>
      </c>
      <c r="H1" s="4" t="inlineStr">
        <is>
          <t>grave_ameaca</t>
        </is>
      </c>
      <c r="I1" s="4" t="inlineStr">
        <is>
          <t>elemento</t>
        </is>
      </c>
      <c r="J1" s="4" t="inlineStr">
        <is>
          <t>tentativa</t>
        </is>
      </c>
      <c r="K1" s="4" t="inlineStr">
        <is>
          <t>acao</t>
        </is>
      </c>
      <c r="L1" s="4" t="inlineStr">
        <is>
          <t>nome</t>
        </is>
      </c>
      <c r="M1" s="4" t="inlineStr">
        <is>
          <t>vigência</t>
        </is>
      </c>
      <c r="N1" s="4" t="inlineStr">
        <is>
          <t>divergências S1</t>
        </is>
      </c>
      <c r="O1" s="4" t="inlineStr">
        <is>
          <t>saída do registro</t>
        </is>
      </c>
    </row>
    <row r="2">
      <c r="A2">
        <f>'Revisor A'!A2</f>
        <v/>
      </c>
      <c r="B2">
        <f>IFERROR(INDEX(Gabarito!$M:$M,MATCH($A2,Gabarito!$A:$A,0)),"")</f>
        <v/>
      </c>
      <c r="C2">
        <f>IF('Revisor A'!G2&lt;&gt;"",'Revisor A'!G2,IF('Revisor A'!F2="","não preenchido",IF(ABS(N('Revisor A'!F2)-N(INDEX(Gabarito!$B:$B,MATCH($A2,Gabarito!$A:$A,0))))&lt;=1,"confere","diverge")))</f>
        <v/>
      </c>
      <c r="D2">
        <f>IF('Revisor A'!I2&lt;&gt;"",'Revisor A'!I2,IF('Revisor A'!H2="","não preenchido",IF(ABS(N('Revisor A'!H2)-N(INDEX(Gabarito!$C:$C,MATCH($A2,Gabarito!$A:$A,0))))&lt;=1,"confere","diverge")))</f>
        <v/>
      </c>
      <c r="E2">
        <f>IF('Revisor A'!K2&lt;&gt;"",'Revisor A'!K2,IF('Revisor A'!J2="","não preenchido",IF(LOWER(TRIM('Revisor A'!J2))=LOWER(TRIM(INDEX(Gabarito!$D:$D,MATCH($A2,Gabarito!$A:$A,0)))),"confere","diverge")))</f>
        <v/>
      </c>
      <c r="F2">
        <f>IF('Revisor A'!M2&lt;&gt;"",'Revisor A'!M2,IF('Revisor A'!L2="","não preenchido",IF(LOWER(TRIM('Revisor A'!L2))=LOWER(TRIM(INDEX(Gabarito!$E:$E,MATCH($A2,Gabarito!$A:$A,0)))),"confere","diverge")))</f>
        <v/>
      </c>
      <c r="G2">
        <f>IF('Revisor A'!O2&lt;&gt;"",'Revisor A'!O2,IF('Revisor A'!N2="","não preenchido",IF(LOWER(TRIM('Revisor A'!N2))=LOWER(TRIM(INDEX(Gabarito!$F:$F,MATCH($A2,Gabarito!$A:$A,0)))),"confere","diverge")))</f>
        <v/>
      </c>
      <c r="H2">
        <f>IF('Revisor A'!Q2&lt;&gt;"",'Revisor A'!Q2,IF('Revisor A'!P2="","não preenchido",IF(LOWER(TRIM('Revisor A'!P2))=LOWER(TRIM(INDEX(Gabarito!$G:$G,MATCH($A2,Gabarito!$A:$A,0)))),"confere","diverge")))</f>
        <v/>
      </c>
      <c r="I2">
        <f>IF('Revisor A'!S2&lt;&gt;"",'Revisor A'!S2,IF('Revisor A'!R2="","não preenchido",IF(LOWER(TRIM('Revisor A'!R2))=LOWER(TRIM(INDEX(Gabarito!$H:$H,MATCH($A2,Gabarito!$A:$A,0)))),"confere","diverge")))</f>
        <v/>
      </c>
      <c r="J2">
        <f>IF('Revisor A'!U2&lt;&gt;"",'Revisor A'!U2,IF('Revisor A'!T2="","não preenchido",IF(LOWER(TRIM('Revisor A'!T2))=LOWER(TRIM(INDEX(Gabarito!$I:$I,MATCH($A2,Gabarito!$A:$A,0)))),"confere","diverge")))</f>
        <v/>
      </c>
      <c r="K2">
        <f>IF('Revisor A'!W2&lt;&gt;"",'Revisor A'!W2,IF('Revisor A'!V2="","não preenchido",IF(LOWER(TRIM('Revisor A'!V2))=LOWER(TRIM(INDEX(Gabarito!$J:$J,MATCH($A2,Gabarito!$A:$A,0)))),"confere","diverge")))</f>
        <v/>
      </c>
      <c r="L2">
        <f>IF('Revisor A'!AB2="","não preenchido",'Revisor A'!AB2)</f>
        <v/>
      </c>
      <c r="M2">
        <f>IF('Revisor A'!AC2="","não preenchido",'Revisor A'!AC2)</f>
        <v/>
      </c>
      <c r="N2">
        <f>COUNTIF(C2:K2,"diverge")</f>
        <v/>
      </c>
      <c r="O2">
        <f>IF(COUNTIF(C2:K2,"não preenchido")=9,"não preenchido",IF(N2&gt;0,"diverge","confere"))</f>
        <v/>
      </c>
    </row>
    <row r="3">
      <c r="A3">
        <f>'Revisor A'!A3</f>
        <v/>
      </c>
      <c r="B3">
        <f>IFERROR(INDEX(Gabarito!$M:$M,MATCH($A3,Gabarito!$A:$A,0)),"")</f>
        <v/>
      </c>
      <c r="C3">
        <f>IF('Revisor A'!G3&lt;&gt;"",'Revisor A'!G3,IF('Revisor A'!F3="","não preenchido",IF(ABS(N('Revisor A'!F3)-N(INDEX(Gabarito!$B:$B,MATCH($A3,Gabarito!$A:$A,0))))&lt;=1,"confere","diverge")))</f>
        <v/>
      </c>
      <c r="D3">
        <f>IF('Revisor A'!I3&lt;&gt;"",'Revisor A'!I3,IF('Revisor A'!H3="","não preenchido",IF(ABS(N('Revisor A'!H3)-N(INDEX(Gabarito!$C:$C,MATCH($A3,Gabarito!$A:$A,0))))&lt;=1,"confere","diverge")))</f>
        <v/>
      </c>
      <c r="E3">
        <f>IF('Revisor A'!K3&lt;&gt;"",'Revisor A'!K3,IF('Revisor A'!J3="","não preenchido",IF(LOWER(TRIM('Revisor A'!J3))=LOWER(TRIM(INDEX(Gabarito!$D:$D,MATCH($A3,Gabarito!$A:$A,0)))),"confere","diverge")))</f>
        <v/>
      </c>
      <c r="F3">
        <f>IF('Revisor A'!M3&lt;&gt;"",'Revisor A'!M3,IF('Revisor A'!L3="","não preenchido",IF(LOWER(TRIM('Revisor A'!L3))=LOWER(TRIM(INDEX(Gabarito!$E:$E,MATCH($A3,Gabarito!$A:$A,0)))),"confere","diverge")))</f>
        <v/>
      </c>
      <c r="G3">
        <f>IF('Revisor A'!O3&lt;&gt;"",'Revisor A'!O3,IF('Revisor A'!N3="","não preenchido",IF(LOWER(TRIM('Revisor A'!N3))=LOWER(TRIM(INDEX(Gabarito!$F:$F,MATCH($A3,Gabarito!$A:$A,0)))),"confere","diverge")))</f>
        <v/>
      </c>
      <c r="H3">
        <f>IF('Revisor A'!Q3&lt;&gt;"",'Revisor A'!Q3,IF('Revisor A'!P3="","não preenchido",IF(LOWER(TRIM('Revisor A'!P3))=LOWER(TRIM(INDEX(Gabarito!$G:$G,MATCH($A3,Gabarito!$A:$A,0)))),"confere","diverge")))</f>
        <v/>
      </c>
      <c r="I3">
        <f>IF('Revisor A'!S3&lt;&gt;"",'Revisor A'!S3,IF('Revisor A'!R3="","não preenchido",IF(LOWER(TRIM('Revisor A'!R3))=LOWER(TRIM(INDEX(Gabarito!$H:$H,MATCH($A3,Gabarito!$A:$A,0)))),"confere","diverge")))</f>
        <v/>
      </c>
      <c r="J3">
        <f>IF('Revisor A'!U3&lt;&gt;"",'Revisor A'!U3,IF('Revisor A'!T3="","não preenchido",IF(LOWER(TRIM('Revisor A'!T3))=LOWER(TRIM(INDEX(Gabarito!$I:$I,MATCH($A3,Gabarito!$A:$A,0)))),"confere","diverge")))</f>
        <v/>
      </c>
      <c r="K3">
        <f>IF('Revisor A'!W3&lt;&gt;"",'Revisor A'!W3,IF('Revisor A'!V3="","não preenchido",IF(LOWER(TRIM('Revisor A'!V3))=LOWER(TRIM(INDEX(Gabarito!$J:$J,MATCH($A3,Gabarito!$A:$A,0)))),"confere","diverge")))</f>
        <v/>
      </c>
      <c r="L3">
        <f>IF('Revisor A'!AB3="","não preenchido",'Revisor A'!AB3)</f>
        <v/>
      </c>
      <c r="M3">
        <f>IF('Revisor A'!AC3="","não preenchido",'Revisor A'!AC3)</f>
        <v/>
      </c>
      <c r="N3">
        <f>COUNTIF(C3:K3,"diverge")</f>
        <v/>
      </c>
      <c r="O3">
        <f>IF(COUNTIF(C3:K3,"não preenchido")=9,"não preenchido",IF(N3&gt;0,"diverge","confere"))</f>
        <v/>
      </c>
    </row>
    <row r="4">
      <c r="A4">
        <f>'Revisor A'!A4</f>
        <v/>
      </c>
      <c r="B4">
        <f>IFERROR(INDEX(Gabarito!$M:$M,MATCH($A4,Gabarito!$A:$A,0)),"")</f>
        <v/>
      </c>
      <c r="C4">
        <f>IF('Revisor A'!G4&lt;&gt;"",'Revisor A'!G4,IF('Revisor A'!F4="","não preenchido",IF(ABS(N('Revisor A'!F4)-N(INDEX(Gabarito!$B:$B,MATCH($A4,Gabarito!$A:$A,0))))&lt;=1,"confere","diverge")))</f>
        <v/>
      </c>
      <c r="D4">
        <f>IF('Revisor A'!I4&lt;&gt;"",'Revisor A'!I4,IF('Revisor A'!H4="","não preenchido",IF(ABS(N('Revisor A'!H4)-N(INDEX(Gabarito!$C:$C,MATCH($A4,Gabarito!$A:$A,0))))&lt;=1,"confere","diverge")))</f>
        <v/>
      </c>
      <c r="E4">
        <f>IF('Revisor A'!K4&lt;&gt;"",'Revisor A'!K4,IF('Revisor A'!J4="","não preenchido",IF(LOWER(TRIM('Revisor A'!J4))=LOWER(TRIM(INDEX(Gabarito!$D:$D,MATCH($A4,Gabarito!$A:$A,0)))),"confere","diverge")))</f>
        <v/>
      </c>
      <c r="F4">
        <f>IF('Revisor A'!M4&lt;&gt;"",'Revisor A'!M4,IF('Revisor A'!L4="","não preenchido",IF(LOWER(TRIM('Revisor A'!L4))=LOWER(TRIM(INDEX(Gabarito!$E:$E,MATCH($A4,Gabarito!$A:$A,0)))),"confere","diverge")))</f>
        <v/>
      </c>
      <c r="G4">
        <f>IF('Revisor A'!O4&lt;&gt;"",'Revisor A'!O4,IF('Revisor A'!N4="","não preenchido",IF(LOWER(TRIM('Revisor A'!N4))=LOWER(TRIM(INDEX(Gabarito!$F:$F,MATCH($A4,Gabarito!$A:$A,0)))),"confere","diverge")))</f>
        <v/>
      </c>
      <c r="H4">
        <f>IF('Revisor A'!Q4&lt;&gt;"",'Revisor A'!Q4,IF('Revisor A'!P4="","não preenchido",IF(LOWER(TRIM('Revisor A'!P4))=LOWER(TRIM(INDEX(Gabarito!$G:$G,MATCH($A4,Gabarito!$A:$A,0)))),"confere","diverge")))</f>
        <v/>
      </c>
      <c r="I4">
        <f>IF('Revisor A'!S4&lt;&gt;"",'Revisor A'!S4,IF('Revisor A'!R4="","não preenchido",IF(LOWER(TRIM('Revisor A'!R4))=LOWER(TRIM(INDEX(Gabarito!$H:$H,MATCH($A4,Gabarito!$A:$A,0)))),"confere","diverge")))</f>
        <v/>
      </c>
      <c r="J4">
        <f>IF('Revisor A'!U4&lt;&gt;"",'Revisor A'!U4,IF('Revisor A'!T4="","não preenchido",IF(LOWER(TRIM('Revisor A'!T4))=LOWER(TRIM(INDEX(Gabarito!$I:$I,MATCH($A4,Gabarito!$A:$A,0)))),"confere","diverge")))</f>
        <v/>
      </c>
      <c r="K4">
        <f>IF('Revisor A'!W4&lt;&gt;"",'Revisor A'!W4,IF('Revisor A'!V4="","não preenchido",IF(LOWER(TRIM('Revisor A'!V4))=LOWER(TRIM(INDEX(Gabarito!$J:$J,MATCH($A4,Gabarito!$A:$A,0)))),"confere","diverge")))</f>
        <v/>
      </c>
      <c r="L4">
        <f>IF('Revisor A'!AB4="","não preenchido",'Revisor A'!AB4)</f>
        <v/>
      </c>
      <c r="M4">
        <f>IF('Revisor A'!AC4="","não preenchido",'Revisor A'!AC4)</f>
        <v/>
      </c>
      <c r="N4">
        <f>COUNTIF(C4:K4,"diverge")</f>
        <v/>
      </c>
      <c r="O4">
        <f>IF(COUNTIF(C4:K4,"não preenchido")=9,"não preenchido",IF(N4&gt;0,"diverge","confere"))</f>
        <v/>
      </c>
    </row>
    <row r="5">
      <c r="A5">
        <f>'Revisor A'!A5</f>
        <v/>
      </c>
      <c r="B5">
        <f>IFERROR(INDEX(Gabarito!$M:$M,MATCH($A5,Gabarito!$A:$A,0)),"")</f>
        <v/>
      </c>
      <c r="C5">
        <f>IF('Revisor A'!G5&lt;&gt;"",'Revisor A'!G5,IF('Revisor A'!F5="","não preenchido",IF(ABS(N('Revisor A'!F5)-N(INDEX(Gabarito!$B:$B,MATCH($A5,Gabarito!$A:$A,0))))&lt;=1,"confere","diverge")))</f>
        <v/>
      </c>
      <c r="D5">
        <f>IF('Revisor A'!I5&lt;&gt;"",'Revisor A'!I5,IF('Revisor A'!H5="","não preenchido",IF(ABS(N('Revisor A'!H5)-N(INDEX(Gabarito!$C:$C,MATCH($A5,Gabarito!$A:$A,0))))&lt;=1,"confere","diverge")))</f>
        <v/>
      </c>
      <c r="E5">
        <f>IF('Revisor A'!K5&lt;&gt;"",'Revisor A'!K5,IF('Revisor A'!J5="","não preenchido",IF(LOWER(TRIM('Revisor A'!J5))=LOWER(TRIM(INDEX(Gabarito!$D:$D,MATCH($A5,Gabarito!$A:$A,0)))),"confere","diverge")))</f>
        <v/>
      </c>
      <c r="F5">
        <f>IF('Revisor A'!M5&lt;&gt;"",'Revisor A'!M5,IF('Revisor A'!L5="","não preenchido",IF(LOWER(TRIM('Revisor A'!L5))=LOWER(TRIM(INDEX(Gabarito!$E:$E,MATCH($A5,Gabarito!$A:$A,0)))),"confere","diverge")))</f>
        <v/>
      </c>
      <c r="G5">
        <f>IF('Revisor A'!O5&lt;&gt;"",'Revisor A'!O5,IF('Revisor A'!N5="","não preenchido",IF(LOWER(TRIM('Revisor A'!N5))=LOWER(TRIM(INDEX(Gabarito!$F:$F,MATCH($A5,Gabarito!$A:$A,0)))),"confere","diverge")))</f>
        <v/>
      </c>
      <c r="H5">
        <f>IF('Revisor A'!Q5&lt;&gt;"",'Revisor A'!Q5,IF('Revisor A'!P5="","não preenchido",IF(LOWER(TRIM('Revisor A'!P5))=LOWER(TRIM(INDEX(Gabarito!$G:$G,MATCH($A5,Gabarito!$A:$A,0)))),"confere","diverge")))</f>
        <v/>
      </c>
      <c r="I5">
        <f>IF('Revisor A'!S5&lt;&gt;"",'Revisor A'!S5,IF('Revisor A'!R5="","não preenchido",IF(LOWER(TRIM('Revisor A'!R5))=LOWER(TRIM(INDEX(Gabarito!$H:$H,MATCH($A5,Gabarito!$A:$A,0)))),"confere","diverge")))</f>
        <v/>
      </c>
      <c r="J5">
        <f>IF('Revisor A'!U5&lt;&gt;"",'Revisor A'!U5,IF('Revisor A'!T5="","não preenchido",IF(LOWER(TRIM('Revisor A'!T5))=LOWER(TRIM(INDEX(Gabarito!$I:$I,MATCH($A5,Gabarito!$A:$A,0)))),"confere","diverge")))</f>
        <v/>
      </c>
      <c r="K5">
        <f>IF('Revisor A'!W5&lt;&gt;"",'Revisor A'!W5,IF('Revisor A'!V5="","não preenchido",IF(LOWER(TRIM('Revisor A'!V5))=LOWER(TRIM(INDEX(Gabarito!$J:$J,MATCH($A5,Gabarito!$A:$A,0)))),"confere","diverge")))</f>
        <v/>
      </c>
      <c r="L5">
        <f>IF('Revisor A'!AB5="","não preenchido",'Revisor A'!AB5)</f>
        <v/>
      </c>
      <c r="M5">
        <f>IF('Revisor A'!AC5="","não preenchido",'Revisor A'!AC5)</f>
        <v/>
      </c>
      <c r="N5">
        <f>COUNTIF(C5:K5,"diverge")</f>
        <v/>
      </c>
      <c r="O5">
        <f>IF(COUNTIF(C5:K5,"não preenchido")=9,"não preenchido",IF(N5&gt;0,"diverge","confere"))</f>
        <v/>
      </c>
    </row>
    <row r="6">
      <c r="A6">
        <f>'Revisor A'!A6</f>
        <v/>
      </c>
      <c r="B6">
        <f>IFERROR(INDEX(Gabarito!$M:$M,MATCH($A6,Gabarito!$A:$A,0)),"")</f>
        <v/>
      </c>
      <c r="C6">
        <f>IF('Revisor A'!G6&lt;&gt;"",'Revisor A'!G6,IF('Revisor A'!F6="","não preenchido",IF(ABS(N('Revisor A'!F6)-N(INDEX(Gabarito!$B:$B,MATCH($A6,Gabarito!$A:$A,0))))&lt;=1,"confere","diverge")))</f>
        <v/>
      </c>
      <c r="D6">
        <f>IF('Revisor A'!I6&lt;&gt;"",'Revisor A'!I6,IF('Revisor A'!H6="","não preenchido",IF(ABS(N('Revisor A'!H6)-N(INDEX(Gabarito!$C:$C,MATCH($A6,Gabarito!$A:$A,0))))&lt;=1,"confere","diverge")))</f>
        <v/>
      </c>
      <c r="E6">
        <f>IF('Revisor A'!K6&lt;&gt;"",'Revisor A'!K6,IF('Revisor A'!J6="","não preenchido",IF(LOWER(TRIM('Revisor A'!J6))=LOWER(TRIM(INDEX(Gabarito!$D:$D,MATCH($A6,Gabarito!$A:$A,0)))),"confere","diverge")))</f>
        <v/>
      </c>
      <c r="F6">
        <f>IF('Revisor A'!M6&lt;&gt;"",'Revisor A'!M6,IF('Revisor A'!L6="","não preenchido",IF(LOWER(TRIM('Revisor A'!L6))=LOWER(TRIM(INDEX(Gabarito!$E:$E,MATCH($A6,Gabarito!$A:$A,0)))),"confere","diverge")))</f>
        <v/>
      </c>
      <c r="G6">
        <f>IF('Revisor A'!O6&lt;&gt;"",'Revisor A'!O6,IF('Revisor A'!N6="","não preenchido",IF(LOWER(TRIM('Revisor A'!N6))=LOWER(TRIM(INDEX(Gabarito!$F:$F,MATCH($A6,Gabarito!$A:$A,0)))),"confere","diverge")))</f>
        <v/>
      </c>
      <c r="H6">
        <f>IF('Revisor A'!Q6&lt;&gt;"",'Revisor A'!Q6,IF('Revisor A'!P6="","não preenchido",IF(LOWER(TRIM('Revisor A'!P6))=LOWER(TRIM(INDEX(Gabarito!$G:$G,MATCH($A6,Gabarito!$A:$A,0)))),"confere","diverge")))</f>
        <v/>
      </c>
      <c r="I6">
        <f>IF('Revisor A'!S6&lt;&gt;"",'Revisor A'!S6,IF('Revisor A'!R6="","não preenchido",IF(LOWER(TRIM('Revisor A'!R6))=LOWER(TRIM(INDEX(Gabarito!$H:$H,MATCH($A6,Gabarito!$A:$A,0)))),"confere","diverge")))</f>
        <v/>
      </c>
      <c r="J6">
        <f>IF('Revisor A'!U6&lt;&gt;"",'Revisor A'!U6,IF('Revisor A'!T6="","não preenchido",IF(LOWER(TRIM('Revisor A'!T6))=LOWER(TRIM(INDEX(Gabarito!$I:$I,MATCH($A6,Gabarito!$A:$A,0)))),"confere","diverge")))</f>
        <v/>
      </c>
      <c r="K6">
        <f>IF('Revisor A'!W6&lt;&gt;"",'Revisor A'!W6,IF('Revisor A'!V6="","não preenchido",IF(LOWER(TRIM('Revisor A'!V6))=LOWER(TRIM(INDEX(Gabarito!$J:$J,MATCH($A6,Gabarito!$A:$A,0)))),"confere","diverge")))</f>
        <v/>
      </c>
      <c r="L6">
        <f>IF('Revisor A'!AB6="","não preenchido",'Revisor A'!AB6)</f>
        <v/>
      </c>
      <c r="M6">
        <f>IF('Revisor A'!AC6="","não preenchido",'Revisor A'!AC6)</f>
        <v/>
      </c>
      <c r="N6">
        <f>COUNTIF(C6:K6,"diverge")</f>
        <v/>
      </c>
      <c r="O6">
        <f>IF(COUNTIF(C6:K6,"não preenchido")=9,"não preenchido",IF(N6&gt;0,"diverge","confere"))</f>
        <v/>
      </c>
    </row>
    <row r="7">
      <c r="A7">
        <f>'Revisor A'!A7</f>
        <v/>
      </c>
      <c r="B7">
        <f>IFERROR(INDEX(Gabarito!$M:$M,MATCH($A7,Gabarito!$A:$A,0)),"")</f>
        <v/>
      </c>
      <c r="C7">
        <f>IF('Revisor A'!G7&lt;&gt;"",'Revisor A'!G7,IF('Revisor A'!F7="","não preenchido",IF(ABS(N('Revisor A'!F7)-N(INDEX(Gabarito!$B:$B,MATCH($A7,Gabarito!$A:$A,0))))&lt;=1,"confere","diverge")))</f>
        <v/>
      </c>
      <c r="D7">
        <f>IF('Revisor A'!I7&lt;&gt;"",'Revisor A'!I7,IF('Revisor A'!H7="","não preenchido",IF(ABS(N('Revisor A'!H7)-N(INDEX(Gabarito!$C:$C,MATCH($A7,Gabarito!$A:$A,0))))&lt;=1,"confere","diverge")))</f>
        <v/>
      </c>
      <c r="E7">
        <f>IF('Revisor A'!K7&lt;&gt;"",'Revisor A'!K7,IF('Revisor A'!J7="","não preenchido",IF(LOWER(TRIM('Revisor A'!J7))=LOWER(TRIM(INDEX(Gabarito!$D:$D,MATCH($A7,Gabarito!$A:$A,0)))),"confere","diverge")))</f>
        <v/>
      </c>
      <c r="F7">
        <f>IF('Revisor A'!M7&lt;&gt;"",'Revisor A'!M7,IF('Revisor A'!L7="","não preenchido",IF(LOWER(TRIM('Revisor A'!L7))=LOWER(TRIM(INDEX(Gabarito!$E:$E,MATCH($A7,Gabarito!$A:$A,0)))),"confere","diverge")))</f>
        <v/>
      </c>
      <c r="G7">
        <f>IF('Revisor A'!O7&lt;&gt;"",'Revisor A'!O7,IF('Revisor A'!N7="","não preenchido",IF(LOWER(TRIM('Revisor A'!N7))=LOWER(TRIM(INDEX(Gabarito!$F:$F,MATCH($A7,Gabarito!$A:$A,0)))),"confere","diverge")))</f>
        <v/>
      </c>
      <c r="H7">
        <f>IF('Revisor A'!Q7&lt;&gt;"",'Revisor A'!Q7,IF('Revisor A'!P7="","não preenchido",IF(LOWER(TRIM('Revisor A'!P7))=LOWER(TRIM(INDEX(Gabarito!$G:$G,MATCH($A7,Gabarito!$A:$A,0)))),"confere","diverge")))</f>
        <v/>
      </c>
      <c r="I7">
        <f>IF('Revisor A'!S7&lt;&gt;"",'Revisor A'!S7,IF('Revisor A'!R7="","não preenchido",IF(LOWER(TRIM('Revisor A'!R7))=LOWER(TRIM(INDEX(Gabarito!$H:$H,MATCH($A7,Gabarito!$A:$A,0)))),"confere","diverge")))</f>
        <v/>
      </c>
      <c r="J7">
        <f>IF('Revisor A'!U7&lt;&gt;"",'Revisor A'!U7,IF('Revisor A'!T7="","não preenchido",IF(LOWER(TRIM('Revisor A'!T7))=LOWER(TRIM(INDEX(Gabarito!$I:$I,MATCH($A7,Gabarito!$A:$A,0)))),"confere","diverge")))</f>
        <v/>
      </c>
      <c r="K7">
        <f>IF('Revisor A'!W7&lt;&gt;"",'Revisor A'!W7,IF('Revisor A'!V7="","não preenchido",IF(LOWER(TRIM('Revisor A'!V7))=LOWER(TRIM(INDEX(Gabarito!$J:$J,MATCH($A7,Gabarito!$A:$A,0)))),"confere","diverge")))</f>
        <v/>
      </c>
      <c r="L7">
        <f>IF('Revisor A'!AB7="","não preenchido",'Revisor A'!AB7)</f>
        <v/>
      </c>
      <c r="M7">
        <f>IF('Revisor A'!AC7="","não preenchido",'Revisor A'!AC7)</f>
        <v/>
      </c>
      <c r="N7">
        <f>COUNTIF(C7:K7,"diverge")</f>
        <v/>
      </c>
      <c r="O7">
        <f>IF(COUNTIF(C7:K7,"não preenchido")=9,"não preenchido",IF(N7&gt;0,"diverge","confere"))</f>
        <v/>
      </c>
    </row>
    <row r="8">
      <c r="A8">
        <f>'Revisor A'!A8</f>
        <v/>
      </c>
      <c r="B8">
        <f>IFERROR(INDEX(Gabarito!$M:$M,MATCH($A8,Gabarito!$A:$A,0)),"")</f>
        <v/>
      </c>
      <c r="C8">
        <f>IF('Revisor A'!G8&lt;&gt;"",'Revisor A'!G8,IF('Revisor A'!F8="","não preenchido",IF(ABS(N('Revisor A'!F8)-N(INDEX(Gabarito!$B:$B,MATCH($A8,Gabarito!$A:$A,0))))&lt;=1,"confere","diverge")))</f>
        <v/>
      </c>
      <c r="D8">
        <f>IF('Revisor A'!I8&lt;&gt;"",'Revisor A'!I8,IF('Revisor A'!H8="","não preenchido",IF(ABS(N('Revisor A'!H8)-N(INDEX(Gabarito!$C:$C,MATCH($A8,Gabarito!$A:$A,0))))&lt;=1,"confere","diverge")))</f>
        <v/>
      </c>
      <c r="E8">
        <f>IF('Revisor A'!K8&lt;&gt;"",'Revisor A'!K8,IF('Revisor A'!J8="","não preenchido",IF(LOWER(TRIM('Revisor A'!J8))=LOWER(TRIM(INDEX(Gabarito!$D:$D,MATCH($A8,Gabarito!$A:$A,0)))),"confere","diverge")))</f>
        <v/>
      </c>
      <c r="F8">
        <f>IF('Revisor A'!M8&lt;&gt;"",'Revisor A'!M8,IF('Revisor A'!L8="","não preenchido",IF(LOWER(TRIM('Revisor A'!L8))=LOWER(TRIM(INDEX(Gabarito!$E:$E,MATCH($A8,Gabarito!$A:$A,0)))),"confere","diverge")))</f>
        <v/>
      </c>
      <c r="G8">
        <f>IF('Revisor A'!O8&lt;&gt;"",'Revisor A'!O8,IF('Revisor A'!N8="","não preenchido",IF(LOWER(TRIM('Revisor A'!N8))=LOWER(TRIM(INDEX(Gabarito!$F:$F,MATCH($A8,Gabarito!$A:$A,0)))),"confere","diverge")))</f>
        <v/>
      </c>
      <c r="H8">
        <f>IF('Revisor A'!Q8&lt;&gt;"",'Revisor A'!Q8,IF('Revisor A'!P8="","não preenchido",IF(LOWER(TRIM('Revisor A'!P8))=LOWER(TRIM(INDEX(Gabarito!$G:$G,MATCH($A8,Gabarito!$A:$A,0)))),"confere","diverge")))</f>
        <v/>
      </c>
      <c r="I8">
        <f>IF('Revisor A'!S8&lt;&gt;"",'Revisor A'!S8,IF('Revisor A'!R8="","não preenchido",IF(LOWER(TRIM('Revisor A'!R8))=LOWER(TRIM(INDEX(Gabarito!$H:$H,MATCH($A8,Gabarito!$A:$A,0)))),"confere","diverge")))</f>
        <v/>
      </c>
      <c r="J8">
        <f>IF('Revisor A'!U8&lt;&gt;"",'Revisor A'!U8,IF('Revisor A'!T8="","não preenchido",IF(LOWER(TRIM('Revisor A'!T8))=LOWER(TRIM(INDEX(Gabarito!$I:$I,MATCH($A8,Gabarito!$A:$A,0)))),"confere","diverge")))</f>
        <v/>
      </c>
      <c r="K8">
        <f>IF('Revisor A'!W8&lt;&gt;"",'Revisor A'!W8,IF('Revisor A'!V8="","não preenchido",IF(LOWER(TRIM('Revisor A'!V8))=LOWER(TRIM(INDEX(Gabarito!$J:$J,MATCH($A8,Gabarito!$A:$A,0)))),"confere","diverge")))</f>
        <v/>
      </c>
      <c r="L8">
        <f>IF('Revisor A'!AB8="","não preenchido",'Revisor A'!AB8)</f>
        <v/>
      </c>
      <c r="M8">
        <f>IF('Revisor A'!AC8="","não preenchido",'Revisor A'!AC8)</f>
        <v/>
      </c>
      <c r="N8">
        <f>COUNTIF(C8:K8,"diverge")</f>
        <v/>
      </c>
      <c r="O8">
        <f>IF(COUNTIF(C8:K8,"não preenchido")=9,"não preenchido",IF(N8&gt;0,"diverge","confere"))</f>
        <v/>
      </c>
    </row>
    <row r="9">
      <c r="A9">
        <f>'Revisor A'!A9</f>
        <v/>
      </c>
      <c r="B9">
        <f>IFERROR(INDEX(Gabarito!$M:$M,MATCH($A9,Gabarito!$A:$A,0)),"")</f>
        <v/>
      </c>
      <c r="C9">
        <f>IF('Revisor A'!G9&lt;&gt;"",'Revisor A'!G9,IF('Revisor A'!F9="","não preenchido",IF(ABS(N('Revisor A'!F9)-N(INDEX(Gabarito!$B:$B,MATCH($A9,Gabarito!$A:$A,0))))&lt;=1,"confere","diverge")))</f>
        <v/>
      </c>
      <c r="D9">
        <f>IF('Revisor A'!I9&lt;&gt;"",'Revisor A'!I9,IF('Revisor A'!H9="","não preenchido",IF(ABS(N('Revisor A'!H9)-N(INDEX(Gabarito!$C:$C,MATCH($A9,Gabarito!$A:$A,0))))&lt;=1,"confere","diverge")))</f>
        <v/>
      </c>
      <c r="E9">
        <f>IF('Revisor A'!K9&lt;&gt;"",'Revisor A'!K9,IF('Revisor A'!J9="","não preenchido",IF(LOWER(TRIM('Revisor A'!J9))=LOWER(TRIM(INDEX(Gabarito!$D:$D,MATCH($A9,Gabarito!$A:$A,0)))),"confere","diverge")))</f>
        <v/>
      </c>
      <c r="F9">
        <f>IF('Revisor A'!M9&lt;&gt;"",'Revisor A'!M9,IF('Revisor A'!L9="","não preenchido",IF(LOWER(TRIM('Revisor A'!L9))=LOWER(TRIM(INDEX(Gabarito!$E:$E,MATCH($A9,Gabarito!$A:$A,0)))),"confere","diverge")))</f>
        <v/>
      </c>
      <c r="G9">
        <f>IF('Revisor A'!O9&lt;&gt;"",'Revisor A'!O9,IF('Revisor A'!N9="","não preenchido",IF(LOWER(TRIM('Revisor A'!N9))=LOWER(TRIM(INDEX(Gabarito!$F:$F,MATCH($A9,Gabarito!$A:$A,0)))),"confere","diverge")))</f>
        <v/>
      </c>
      <c r="H9">
        <f>IF('Revisor A'!Q9&lt;&gt;"",'Revisor A'!Q9,IF('Revisor A'!P9="","não preenchido",IF(LOWER(TRIM('Revisor A'!P9))=LOWER(TRIM(INDEX(Gabarito!$G:$G,MATCH($A9,Gabarito!$A:$A,0)))),"confere","diverge")))</f>
        <v/>
      </c>
      <c r="I9">
        <f>IF('Revisor A'!S9&lt;&gt;"",'Revisor A'!S9,IF('Revisor A'!R9="","não preenchido",IF(LOWER(TRIM('Revisor A'!R9))=LOWER(TRIM(INDEX(Gabarito!$H:$H,MATCH($A9,Gabarito!$A:$A,0)))),"confere","diverge")))</f>
        <v/>
      </c>
      <c r="J9">
        <f>IF('Revisor A'!U9&lt;&gt;"",'Revisor A'!U9,IF('Revisor A'!T9="","não preenchido",IF(LOWER(TRIM('Revisor A'!T9))=LOWER(TRIM(INDEX(Gabarito!$I:$I,MATCH($A9,Gabarito!$A:$A,0)))),"confere","diverge")))</f>
        <v/>
      </c>
      <c r="K9">
        <f>IF('Revisor A'!W9&lt;&gt;"",'Revisor A'!W9,IF('Revisor A'!V9="","não preenchido",IF(LOWER(TRIM('Revisor A'!V9))=LOWER(TRIM(INDEX(Gabarito!$J:$J,MATCH($A9,Gabarito!$A:$A,0)))),"confere","diverge")))</f>
        <v/>
      </c>
      <c r="L9">
        <f>IF('Revisor A'!AB9="","não preenchido",'Revisor A'!AB9)</f>
        <v/>
      </c>
      <c r="M9">
        <f>IF('Revisor A'!AC9="","não preenchido",'Revisor A'!AC9)</f>
        <v/>
      </c>
      <c r="N9">
        <f>COUNTIF(C9:K9,"diverge")</f>
        <v/>
      </c>
      <c r="O9">
        <f>IF(COUNTIF(C9:K9,"não preenchido")=9,"não preenchido",IF(N9&gt;0,"diverge","confere"))</f>
        <v/>
      </c>
    </row>
    <row r="10">
      <c r="A10">
        <f>'Revisor A'!A10</f>
        <v/>
      </c>
      <c r="B10">
        <f>IFERROR(INDEX(Gabarito!$M:$M,MATCH($A10,Gabarito!$A:$A,0)),"")</f>
        <v/>
      </c>
      <c r="C10">
        <f>IF('Revisor A'!G10&lt;&gt;"",'Revisor A'!G10,IF('Revisor A'!F10="","não preenchido",IF(ABS(N('Revisor A'!F10)-N(INDEX(Gabarito!$B:$B,MATCH($A10,Gabarito!$A:$A,0))))&lt;=1,"confere","diverge")))</f>
        <v/>
      </c>
      <c r="D10">
        <f>IF('Revisor A'!I10&lt;&gt;"",'Revisor A'!I10,IF('Revisor A'!H10="","não preenchido",IF(ABS(N('Revisor A'!H10)-N(INDEX(Gabarito!$C:$C,MATCH($A10,Gabarito!$A:$A,0))))&lt;=1,"confere","diverge")))</f>
        <v/>
      </c>
      <c r="E10">
        <f>IF('Revisor A'!K10&lt;&gt;"",'Revisor A'!K10,IF('Revisor A'!J10="","não preenchido",IF(LOWER(TRIM('Revisor A'!J10))=LOWER(TRIM(INDEX(Gabarito!$D:$D,MATCH($A10,Gabarito!$A:$A,0)))),"confere","diverge")))</f>
        <v/>
      </c>
      <c r="F10">
        <f>IF('Revisor A'!M10&lt;&gt;"",'Revisor A'!M10,IF('Revisor A'!L10="","não preenchido",IF(LOWER(TRIM('Revisor A'!L10))=LOWER(TRIM(INDEX(Gabarito!$E:$E,MATCH($A10,Gabarito!$A:$A,0)))),"confere","diverge")))</f>
        <v/>
      </c>
      <c r="G10">
        <f>IF('Revisor A'!O10&lt;&gt;"",'Revisor A'!O10,IF('Revisor A'!N10="","não preenchido",IF(LOWER(TRIM('Revisor A'!N10))=LOWER(TRIM(INDEX(Gabarito!$F:$F,MATCH($A10,Gabarito!$A:$A,0)))),"confere","diverge")))</f>
        <v/>
      </c>
      <c r="H10">
        <f>IF('Revisor A'!Q10&lt;&gt;"",'Revisor A'!Q10,IF('Revisor A'!P10="","não preenchido",IF(LOWER(TRIM('Revisor A'!P10))=LOWER(TRIM(INDEX(Gabarito!$G:$G,MATCH($A10,Gabarito!$A:$A,0)))),"confere","diverge")))</f>
        <v/>
      </c>
      <c r="I10">
        <f>IF('Revisor A'!S10&lt;&gt;"",'Revisor A'!S10,IF('Revisor A'!R10="","não preenchido",IF(LOWER(TRIM('Revisor A'!R10))=LOWER(TRIM(INDEX(Gabarito!$H:$H,MATCH($A10,Gabarito!$A:$A,0)))),"confere","diverge")))</f>
        <v/>
      </c>
      <c r="J10">
        <f>IF('Revisor A'!U10&lt;&gt;"",'Revisor A'!U10,IF('Revisor A'!T10="","não preenchido",IF(LOWER(TRIM('Revisor A'!T10))=LOWER(TRIM(INDEX(Gabarito!$I:$I,MATCH($A10,Gabarito!$A:$A,0)))),"confere","diverge")))</f>
        <v/>
      </c>
      <c r="K10">
        <f>IF('Revisor A'!W10&lt;&gt;"",'Revisor A'!W10,IF('Revisor A'!V10="","não preenchido",IF(LOWER(TRIM('Revisor A'!V10))=LOWER(TRIM(INDEX(Gabarito!$J:$J,MATCH($A10,Gabarito!$A:$A,0)))),"confere","diverge")))</f>
        <v/>
      </c>
      <c r="L10">
        <f>IF('Revisor A'!AB10="","não preenchido",'Revisor A'!AB10)</f>
        <v/>
      </c>
      <c r="M10">
        <f>IF('Revisor A'!AC10="","não preenchido",'Revisor A'!AC10)</f>
        <v/>
      </c>
      <c r="N10">
        <f>COUNTIF(C10:K10,"diverge")</f>
        <v/>
      </c>
      <c r="O10">
        <f>IF(COUNTIF(C10:K10,"não preenchido")=9,"não preenchido",IF(N10&gt;0,"diverge","confere"))</f>
        <v/>
      </c>
    </row>
    <row r="11">
      <c r="A11">
        <f>'Revisor A'!A11</f>
        <v/>
      </c>
      <c r="B11">
        <f>IFERROR(INDEX(Gabarito!$M:$M,MATCH($A11,Gabarito!$A:$A,0)),"")</f>
        <v/>
      </c>
      <c r="C11">
        <f>IF('Revisor A'!G11&lt;&gt;"",'Revisor A'!G11,IF('Revisor A'!F11="","não preenchido",IF(ABS(N('Revisor A'!F11)-N(INDEX(Gabarito!$B:$B,MATCH($A11,Gabarito!$A:$A,0))))&lt;=1,"confere","diverge")))</f>
        <v/>
      </c>
      <c r="D11">
        <f>IF('Revisor A'!I11&lt;&gt;"",'Revisor A'!I11,IF('Revisor A'!H11="","não preenchido",IF(ABS(N('Revisor A'!H11)-N(INDEX(Gabarito!$C:$C,MATCH($A11,Gabarito!$A:$A,0))))&lt;=1,"confere","diverge")))</f>
        <v/>
      </c>
      <c r="E11">
        <f>IF('Revisor A'!K11&lt;&gt;"",'Revisor A'!K11,IF('Revisor A'!J11="","não preenchido",IF(LOWER(TRIM('Revisor A'!J11))=LOWER(TRIM(INDEX(Gabarito!$D:$D,MATCH($A11,Gabarito!$A:$A,0)))),"confere","diverge")))</f>
        <v/>
      </c>
      <c r="F11">
        <f>IF('Revisor A'!M11&lt;&gt;"",'Revisor A'!M11,IF('Revisor A'!L11="","não preenchido",IF(LOWER(TRIM('Revisor A'!L11))=LOWER(TRIM(INDEX(Gabarito!$E:$E,MATCH($A11,Gabarito!$A:$A,0)))),"confere","diverge")))</f>
        <v/>
      </c>
      <c r="G11">
        <f>IF('Revisor A'!O11&lt;&gt;"",'Revisor A'!O11,IF('Revisor A'!N11="","não preenchido",IF(LOWER(TRIM('Revisor A'!N11))=LOWER(TRIM(INDEX(Gabarito!$F:$F,MATCH($A11,Gabarito!$A:$A,0)))),"confere","diverge")))</f>
        <v/>
      </c>
      <c r="H11">
        <f>IF('Revisor A'!Q11&lt;&gt;"",'Revisor A'!Q11,IF('Revisor A'!P11="","não preenchido",IF(LOWER(TRIM('Revisor A'!P11))=LOWER(TRIM(INDEX(Gabarito!$G:$G,MATCH($A11,Gabarito!$A:$A,0)))),"confere","diverge")))</f>
        <v/>
      </c>
      <c r="I11">
        <f>IF('Revisor A'!S11&lt;&gt;"",'Revisor A'!S11,IF('Revisor A'!R11="","não preenchido",IF(LOWER(TRIM('Revisor A'!R11))=LOWER(TRIM(INDEX(Gabarito!$H:$H,MATCH($A11,Gabarito!$A:$A,0)))),"confere","diverge")))</f>
        <v/>
      </c>
      <c r="J11">
        <f>IF('Revisor A'!U11&lt;&gt;"",'Revisor A'!U11,IF('Revisor A'!T11="","não preenchido",IF(LOWER(TRIM('Revisor A'!T11))=LOWER(TRIM(INDEX(Gabarito!$I:$I,MATCH($A11,Gabarito!$A:$A,0)))),"confere","diverge")))</f>
        <v/>
      </c>
      <c r="K11">
        <f>IF('Revisor A'!W11&lt;&gt;"",'Revisor A'!W11,IF('Revisor A'!V11="","não preenchido",IF(LOWER(TRIM('Revisor A'!V11))=LOWER(TRIM(INDEX(Gabarito!$J:$J,MATCH($A11,Gabarito!$A:$A,0)))),"confere","diverge")))</f>
        <v/>
      </c>
      <c r="L11">
        <f>IF('Revisor A'!AB11="","não preenchido",'Revisor A'!AB11)</f>
        <v/>
      </c>
      <c r="M11">
        <f>IF('Revisor A'!AC11="","não preenchido",'Revisor A'!AC11)</f>
        <v/>
      </c>
      <c r="N11">
        <f>COUNTIF(C11:K11,"diverge")</f>
        <v/>
      </c>
      <c r="O11">
        <f>IF(COUNTIF(C11:K11,"não preenchido")=9,"não preenchido",IF(N11&gt;0,"diverge","confere"))</f>
        <v/>
      </c>
    </row>
    <row r="12">
      <c r="A12">
        <f>'Revisor A'!A12</f>
        <v/>
      </c>
      <c r="B12">
        <f>IFERROR(INDEX(Gabarito!$M:$M,MATCH($A12,Gabarito!$A:$A,0)),"")</f>
        <v/>
      </c>
      <c r="C12">
        <f>IF('Revisor A'!G12&lt;&gt;"",'Revisor A'!G12,IF('Revisor A'!F12="","não preenchido",IF(ABS(N('Revisor A'!F12)-N(INDEX(Gabarito!$B:$B,MATCH($A12,Gabarito!$A:$A,0))))&lt;=1,"confere","diverge")))</f>
        <v/>
      </c>
      <c r="D12">
        <f>IF('Revisor A'!I12&lt;&gt;"",'Revisor A'!I12,IF('Revisor A'!H12="","não preenchido",IF(ABS(N('Revisor A'!H12)-N(INDEX(Gabarito!$C:$C,MATCH($A12,Gabarito!$A:$A,0))))&lt;=1,"confere","diverge")))</f>
        <v/>
      </c>
      <c r="E12">
        <f>IF('Revisor A'!K12&lt;&gt;"",'Revisor A'!K12,IF('Revisor A'!J12="","não preenchido",IF(LOWER(TRIM('Revisor A'!J12))=LOWER(TRIM(INDEX(Gabarito!$D:$D,MATCH($A12,Gabarito!$A:$A,0)))),"confere","diverge")))</f>
        <v/>
      </c>
      <c r="F12">
        <f>IF('Revisor A'!M12&lt;&gt;"",'Revisor A'!M12,IF('Revisor A'!L12="","não preenchido",IF(LOWER(TRIM('Revisor A'!L12))=LOWER(TRIM(INDEX(Gabarito!$E:$E,MATCH($A12,Gabarito!$A:$A,0)))),"confere","diverge")))</f>
        <v/>
      </c>
      <c r="G12">
        <f>IF('Revisor A'!O12&lt;&gt;"",'Revisor A'!O12,IF('Revisor A'!N12="","não preenchido",IF(LOWER(TRIM('Revisor A'!N12))=LOWER(TRIM(INDEX(Gabarito!$F:$F,MATCH($A12,Gabarito!$A:$A,0)))),"confere","diverge")))</f>
        <v/>
      </c>
      <c r="H12">
        <f>IF('Revisor A'!Q12&lt;&gt;"",'Revisor A'!Q12,IF('Revisor A'!P12="","não preenchido",IF(LOWER(TRIM('Revisor A'!P12))=LOWER(TRIM(INDEX(Gabarito!$G:$G,MATCH($A12,Gabarito!$A:$A,0)))),"confere","diverge")))</f>
        <v/>
      </c>
      <c r="I12">
        <f>IF('Revisor A'!S12&lt;&gt;"",'Revisor A'!S12,IF('Revisor A'!R12="","não preenchido",IF(LOWER(TRIM('Revisor A'!R12))=LOWER(TRIM(INDEX(Gabarito!$H:$H,MATCH($A12,Gabarito!$A:$A,0)))),"confere","diverge")))</f>
        <v/>
      </c>
      <c r="J12">
        <f>IF('Revisor A'!U12&lt;&gt;"",'Revisor A'!U12,IF('Revisor A'!T12="","não preenchido",IF(LOWER(TRIM('Revisor A'!T12))=LOWER(TRIM(INDEX(Gabarito!$I:$I,MATCH($A12,Gabarito!$A:$A,0)))),"confere","diverge")))</f>
        <v/>
      </c>
      <c r="K12">
        <f>IF('Revisor A'!W12&lt;&gt;"",'Revisor A'!W12,IF('Revisor A'!V12="","não preenchido",IF(LOWER(TRIM('Revisor A'!V12))=LOWER(TRIM(INDEX(Gabarito!$J:$J,MATCH($A12,Gabarito!$A:$A,0)))),"confere","diverge")))</f>
        <v/>
      </c>
      <c r="L12">
        <f>IF('Revisor A'!AB12="","não preenchido",'Revisor A'!AB12)</f>
        <v/>
      </c>
      <c r="M12">
        <f>IF('Revisor A'!AC12="","não preenchido",'Revisor A'!AC12)</f>
        <v/>
      </c>
      <c r="N12">
        <f>COUNTIF(C12:K12,"diverge")</f>
        <v/>
      </c>
      <c r="O12">
        <f>IF(COUNTIF(C12:K12,"não preenchido")=9,"não preenchido",IF(N12&gt;0,"diverge","confere"))</f>
        <v/>
      </c>
    </row>
    <row r="13">
      <c r="A13">
        <f>'Revisor A'!A13</f>
        <v/>
      </c>
      <c r="B13">
        <f>IFERROR(INDEX(Gabarito!$M:$M,MATCH($A13,Gabarito!$A:$A,0)),"")</f>
        <v/>
      </c>
      <c r="C13">
        <f>IF('Revisor A'!G13&lt;&gt;"",'Revisor A'!G13,IF('Revisor A'!F13="","não preenchido",IF(ABS(N('Revisor A'!F13)-N(INDEX(Gabarito!$B:$B,MATCH($A13,Gabarito!$A:$A,0))))&lt;=1,"confere","diverge")))</f>
        <v/>
      </c>
      <c r="D13">
        <f>IF('Revisor A'!I13&lt;&gt;"",'Revisor A'!I13,IF('Revisor A'!H13="","não preenchido",IF(ABS(N('Revisor A'!H13)-N(INDEX(Gabarito!$C:$C,MATCH($A13,Gabarito!$A:$A,0))))&lt;=1,"confere","diverge")))</f>
        <v/>
      </c>
      <c r="E13">
        <f>IF('Revisor A'!K13&lt;&gt;"",'Revisor A'!K13,IF('Revisor A'!J13="","não preenchido",IF(LOWER(TRIM('Revisor A'!J13))=LOWER(TRIM(INDEX(Gabarito!$D:$D,MATCH($A13,Gabarito!$A:$A,0)))),"confere","diverge")))</f>
        <v/>
      </c>
      <c r="F13">
        <f>IF('Revisor A'!M13&lt;&gt;"",'Revisor A'!M13,IF('Revisor A'!L13="","não preenchido",IF(LOWER(TRIM('Revisor A'!L13))=LOWER(TRIM(INDEX(Gabarito!$E:$E,MATCH($A13,Gabarito!$A:$A,0)))),"confere","diverge")))</f>
        <v/>
      </c>
      <c r="G13">
        <f>IF('Revisor A'!O13&lt;&gt;"",'Revisor A'!O13,IF('Revisor A'!N13="","não preenchido",IF(LOWER(TRIM('Revisor A'!N13))=LOWER(TRIM(INDEX(Gabarito!$F:$F,MATCH($A13,Gabarito!$A:$A,0)))),"confere","diverge")))</f>
        <v/>
      </c>
      <c r="H13">
        <f>IF('Revisor A'!Q13&lt;&gt;"",'Revisor A'!Q13,IF('Revisor A'!P13="","não preenchido",IF(LOWER(TRIM('Revisor A'!P13))=LOWER(TRIM(INDEX(Gabarito!$G:$G,MATCH($A13,Gabarito!$A:$A,0)))),"confere","diverge")))</f>
        <v/>
      </c>
      <c r="I13">
        <f>IF('Revisor A'!S13&lt;&gt;"",'Revisor A'!S13,IF('Revisor A'!R13="","não preenchido",IF(LOWER(TRIM('Revisor A'!R13))=LOWER(TRIM(INDEX(Gabarito!$H:$H,MATCH($A13,Gabarito!$A:$A,0)))),"confere","diverge")))</f>
        <v/>
      </c>
      <c r="J13">
        <f>IF('Revisor A'!U13&lt;&gt;"",'Revisor A'!U13,IF('Revisor A'!T13="","não preenchido",IF(LOWER(TRIM('Revisor A'!T13))=LOWER(TRIM(INDEX(Gabarito!$I:$I,MATCH($A13,Gabarito!$A:$A,0)))),"confere","diverge")))</f>
        <v/>
      </c>
      <c r="K13">
        <f>IF('Revisor A'!W13&lt;&gt;"",'Revisor A'!W13,IF('Revisor A'!V13="","não preenchido",IF(LOWER(TRIM('Revisor A'!V13))=LOWER(TRIM(INDEX(Gabarito!$J:$J,MATCH($A13,Gabarito!$A:$A,0)))),"confere","diverge")))</f>
        <v/>
      </c>
      <c r="L13">
        <f>IF('Revisor A'!AB13="","não preenchido",'Revisor A'!AB13)</f>
        <v/>
      </c>
      <c r="M13">
        <f>IF('Revisor A'!AC13="","não preenchido",'Revisor A'!AC13)</f>
        <v/>
      </c>
      <c r="N13">
        <f>COUNTIF(C13:K13,"diverge")</f>
        <v/>
      </c>
      <c r="O13">
        <f>IF(COUNTIF(C13:K13,"não preenchido")=9,"não preenchido",IF(N13&gt;0,"diverge","confere"))</f>
        <v/>
      </c>
    </row>
    <row r="14">
      <c r="A14">
        <f>'Revisor A'!A14</f>
        <v/>
      </c>
      <c r="B14">
        <f>IFERROR(INDEX(Gabarito!$M:$M,MATCH($A14,Gabarito!$A:$A,0)),"")</f>
        <v/>
      </c>
      <c r="C14">
        <f>IF('Revisor A'!G14&lt;&gt;"",'Revisor A'!G14,IF('Revisor A'!F14="","não preenchido",IF(ABS(N('Revisor A'!F14)-N(INDEX(Gabarito!$B:$B,MATCH($A14,Gabarito!$A:$A,0))))&lt;=1,"confere","diverge")))</f>
        <v/>
      </c>
      <c r="D14">
        <f>IF('Revisor A'!I14&lt;&gt;"",'Revisor A'!I14,IF('Revisor A'!H14="","não preenchido",IF(ABS(N('Revisor A'!H14)-N(INDEX(Gabarito!$C:$C,MATCH($A14,Gabarito!$A:$A,0))))&lt;=1,"confere","diverge")))</f>
        <v/>
      </c>
      <c r="E14">
        <f>IF('Revisor A'!K14&lt;&gt;"",'Revisor A'!K14,IF('Revisor A'!J14="","não preenchido",IF(LOWER(TRIM('Revisor A'!J14))=LOWER(TRIM(INDEX(Gabarito!$D:$D,MATCH($A14,Gabarito!$A:$A,0)))),"confere","diverge")))</f>
        <v/>
      </c>
      <c r="F14">
        <f>IF('Revisor A'!M14&lt;&gt;"",'Revisor A'!M14,IF('Revisor A'!L14="","não preenchido",IF(LOWER(TRIM('Revisor A'!L14))=LOWER(TRIM(INDEX(Gabarito!$E:$E,MATCH($A14,Gabarito!$A:$A,0)))),"confere","diverge")))</f>
        <v/>
      </c>
      <c r="G14">
        <f>IF('Revisor A'!O14&lt;&gt;"",'Revisor A'!O14,IF('Revisor A'!N14="","não preenchido",IF(LOWER(TRIM('Revisor A'!N14))=LOWER(TRIM(INDEX(Gabarito!$F:$F,MATCH($A14,Gabarito!$A:$A,0)))),"confere","diverge")))</f>
        <v/>
      </c>
      <c r="H14">
        <f>IF('Revisor A'!Q14&lt;&gt;"",'Revisor A'!Q14,IF('Revisor A'!P14="","não preenchido",IF(LOWER(TRIM('Revisor A'!P14))=LOWER(TRIM(INDEX(Gabarito!$G:$G,MATCH($A14,Gabarito!$A:$A,0)))),"confere","diverge")))</f>
        <v/>
      </c>
      <c r="I14">
        <f>IF('Revisor A'!S14&lt;&gt;"",'Revisor A'!S14,IF('Revisor A'!R14="","não preenchido",IF(LOWER(TRIM('Revisor A'!R14))=LOWER(TRIM(INDEX(Gabarito!$H:$H,MATCH($A14,Gabarito!$A:$A,0)))),"confere","diverge")))</f>
        <v/>
      </c>
      <c r="J14">
        <f>IF('Revisor A'!U14&lt;&gt;"",'Revisor A'!U14,IF('Revisor A'!T14="","não preenchido",IF(LOWER(TRIM('Revisor A'!T14))=LOWER(TRIM(INDEX(Gabarito!$I:$I,MATCH($A14,Gabarito!$A:$A,0)))),"confere","diverge")))</f>
        <v/>
      </c>
      <c r="K14">
        <f>IF('Revisor A'!W14&lt;&gt;"",'Revisor A'!W14,IF('Revisor A'!V14="","não preenchido",IF(LOWER(TRIM('Revisor A'!V14))=LOWER(TRIM(INDEX(Gabarito!$J:$J,MATCH($A14,Gabarito!$A:$A,0)))),"confere","diverge")))</f>
        <v/>
      </c>
      <c r="L14">
        <f>IF('Revisor A'!AB14="","não preenchido",'Revisor A'!AB14)</f>
        <v/>
      </c>
      <c r="M14">
        <f>IF('Revisor A'!AC14="","não preenchido",'Revisor A'!AC14)</f>
        <v/>
      </c>
      <c r="N14">
        <f>COUNTIF(C14:K14,"diverge")</f>
        <v/>
      </c>
      <c r="O14">
        <f>IF(COUNTIF(C14:K14,"não preenchido")=9,"não preenchido",IF(N14&gt;0,"diverge","confere"))</f>
        <v/>
      </c>
    </row>
    <row r="15">
      <c r="A15">
        <f>'Revisor A'!A15</f>
        <v/>
      </c>
      <c r="B15">
        <f>IFERROR(INDEX(Gabarito!$M:$M,MATCH($A15,Gabarito!$A:$A,0)),"")</f>
        <v/>
      </c>
      <c r="C15">
        <f>IF('Revisor A'!G15&lt;&gt;"",'Revisor A'!G15,IF('Revisor A'!F15="","não preenchido",IF(ABS(N('Revisor A'!F15)-N(INDEX(Gabarito!$B:$B,MATCH($A15,Gabarito!$A:$A,0))))&lt;=1,"confere","diverge")))</f>
        <v/>
      </c>
      <c r="D15">
        <f>IF('Revisor A'!I15&lt;&gt;"",'Revisor A'!I15,IF('Revisor A'!H15="","não preenchido",IF(ABS(N('Revisor A'!H15)-N(INDEX(Gabarito!$C:$C,MATCH($A15,Gabarito!$A:$A,0))))&lt;=1,"confere","diverge")))</f>
        <v/>
      </c>
      <c r="E15">
        <f>IF('Revisor A'!K15&lt;&gt;"",'Revisor A'!K15,IF('Revisor A'!J15="","não preenchido",IF(LOWER(TRIM('Revisor A'!J15))=LOWER(TRIM(INDEX(Gabarito!$D:$D,MATCH($A15,Gabarito!$A:$A,0)))),"confere","diverge")))</f>
        <v/>
      </c>
      <c r="F15">
        <f>IF('Revisor A'!M15&lt;&gt;"",'Revisor A'!M15,IF('Revisor A'!L15="","não preenchido",IF(LOWER(TRIM('Revisor A'!L15))=LOWER(TRIM(INDEX(Gabarito!$E:$E,MATCH($A15,Gabarito!$A:$A,0)))),"confere","diverge")))</f>
        <v/>
      </c>
      <c r="G15">
        <f>IF('Revisor A'!O15&lt;&gt;"",'Revisor A'!O15,IF('Revisor A'!N15="","não preenchido",IF(LOWER(TRIM('Revisor A'!N15))=LOWER(TRIM(INDEX(Gabarito!$F:$F,MATCH($A15,Gabarito!$A:$A,0)))),"confere","diverge")))</f>
        <v/>
      </c>
      <c r="H15">
        <f>IF('Revisor A'!Q15&lt;&gt;"",'Revisor A'!Q15,IF('Revisor A'!P15="","não preenchido",IF(LOWER(TRIM('Revisor A'!P15))=LOWER(TRIM(INDEX(Gabarito!$G:$G,MATCH($A15,Gabarito!$A:$A,0)))),"confere","diverge")))</f>
        <v/>
      </c>
      <c r="I15">
        <f>IF('Revisor A'!S15&lt;&gt;"",'Revisor A'!S15,IF('Revisor A'!R15="","não preenchido",IF(LOWER(TRIM('Revisor A'!R15))=LOWER(TRIM(INDEX(Gabarito!$H:$H,MATCH($A15,Gabarito!$A:$A,0)))),"confere","diverge")))</f>
        <v/>
      </c>
      <c r="J15">
        <f>IF('Revisor A'!U15&lt;&gt;"",'Revisor A'!U15,IF('Revisor A'!T15="","não preenchido",IF(LOWER(TRIM('Revisor A'!T15))=LOWER(TRIM(INDEX(Gabarito!$I:$I,MATCH($A15,Gabarito!$A:$A,0)))),"confere","diverge")))</f>
        <v/>
      </c>
      <c r="K15">
        <f>IF('Revisor A'!W15&lt;&gt;"",'Revisor A'!W15,IF('Revisor A'!V15="","não preenchido",IF(LOWER(TRIM('Revisor A'!V15))=LOWER(TRIM(INDEX(Gabarito!$J:$J,MATCH($A15,Gabarito!$A:$A,0)))),"confere","diverge")))</f>
        <v/>
      </c>
      <c r="L15">
        <f>IF('Revisor A'!AB15="","não preenchido",'Revisor A'!AB15)</f>
        <v/>
      </c>
      <c r="M15">
        <f>IF('Revisor A'!AC15="","não preenchido",'Revisor A'!AC15)</f>
        <v/>
      </c>
      <c r="N15">
        <f>COUNTIF(C15:K15,"diverge")</f>
        <v/>
      </c>
      <c r="O15">
        <f>IF(COUNTIF(C15:K15,"não preenchido")=9,"não preenchido",IF(N15&gt;0,"diverge","confere"))</f>
        <v/>
      </c>
    </row>
    <row r="16">
      <c r="A16">
        <f>'Revisor A'!A16</f>
        <v/>
      </c>
      <c r="B16">
        <f>IFERROR(INDEX(Gabarito!$M:$M,MATCH($A16,Gabarito!$A:$A,0)),"")</f>
        <v/>
      </c>
      <c r="C16">
        <f>IF('Revisor A'!G16&lt;&gt;"",'Revisor A'!G16,IF('Revisor A'!F16="","não preenchido",IF(ABS(N('Revisor A'!F16)-N(INDEX(Gabarito!$B:$B,MATCH($A16,Gabarito!$A:$A,0))))&lt;=1,"confere","diverge")))</f>
        <v/>
      </c>
      <c r="D16">
        <f>IF('Revisor A'!I16&lt;&gt;"",'Revisor A'!I16,IF('Revisor A'!H16="","não preenchido",IF(ABS(N('Revisor A'!H16)-N(INDEX(Gabarito!$C:$C,MATCH($A16,Gabarito!$A:$A,0))))&lt;=1,"confere","diverge")))</f>
        <v/>
      </c>
      <c r="E16">
        <f>IF('Revisor A'!K16&lt;&gt;"",'Revisor A'!K16,IF('Revisor A'!J16="","não preenchido",IF(LOWER(TRIM('Revisor A'!J16))=LOWER(TRIM(INDEX(Gabarito!$D:$D,MATCH($A16,Gabarito!$A:$A,0)))),"confere","diverge")))</f>
        <v/>
      </c>
      <c r="F16">
        <f>IF('Revisor A'!M16&lt;&gt;"",'Revisor A'!M16,IF('Revisor A'!L16="","não preenchido",IF(LOWER(TRIM('Revisor A'!L16))=LOWER(TRIM(INDEX(Gabarito!$E:$E,MATCH($A16,Gabarito!$A:$A,0)))),"confere","diverge")))</f>
        <v/>
      </c>
      <c r="G16">
        <f>IF('Revisor A'!O16&lt;&gt;"",'Revisor A'!O16,IF('Revisor A'!N16="","não preenchido",IF(LOWER(TRIM('Revisor A'!N16))=LOWER(TRIM(INDEX(Gabarito!$F:$F,MATCH($A16,Gabarito!$A:$A,0)))),"confere","diverge")))</f>
        <v/>
      </c>
      <c r="H16">
        <f>IF('Revisor A'!Q16&lt;&gt;"",'Revisor A'!Q16,IF('Revisor A'!P16="","não preenchido",IF(LOWER(TRIM('Revisor A'!P16))=LOWER(TRIM(INDEX(Gabarito!$G:$G,MATCH($A16,Gabarito!$A:$A,0)))),"confere","diverge")))</f>
        <v/>
      </c>
      <c r="I16">
        <f>IF('Revisor A'!S16&lt;&gt;"",'Revisor A'!S16,IF('Revisor A'!R16="","não preenchido",IF(LOWER(TRIM('Revisor A'!R16))=LOWER(TRIM(INDEX(Gabarito!$H:$H,MATCH($A16,Gabarito!$A:$A,0)))),"confere","diverge")))</f>
        <v/>
      </c>
      <c r="J16">
        <f>IF('Revisor A'!U16&lt;&gt;"",'Revisor A'!U16,IF('Revisor A'!T16="","não preenchido",IF(LOWER(TRIM('Revisor A'!T16))=LOWER(TRIM(INDEX(Gabarito!$I:$I,MATCH($A16,Gabarito!$A:$A,0)))),"confere","diverge")))</f>
        <v/>
      </c>
      <c r="K16">
        <f>IF('Revisor A'!W16&lt;&gt;"",'Revisor A'!W16,IF('Revisor A'!V16="","não preenchido",IF(LOWER(TRIM('Revisor A'!V16))=LOWER(TRIM(INDEX(Gabarito!$J:$J,MATCH($A16,Gabarito!$A:$A,0)))),"confere","diverge")))</f>
        <v/>
      </c>
      <c r="L16">
        <f>IF('Revisor A'!AB16="","não preenchido",'Revisor A'!AB16)</f>
        <v/>
      </c>
      <c r="M16">
        <f>IF('Revisor A'!AC16="","não preenchido",'Revisor A'!AC16)</f>
        <v/>
      </c>
      <c r="N16">
        <f>COUNTIF(C16:K16,"diverge")</f>
        <v/>
      </c>
      <c r="O16">
        <f>IF(COUNTIF(C16:K16,"não preenchido")=9,"não preenchido",IF(N16&gt;0,"diverge","confere"))</f>
        <v/>
      </c>
    </row>
    <row r="17">
      <c r="A17">
        <f>'Revisor A'!A17</f>
        <v/>
      </c>
      <c r="B17">
        <f>IFERROR(INDEX(Gabarito!$M:$M,MATCH($A17,Gabarito!$A:$A,0)),"")</f>
        <v/>
      </c>
      <c r="C17">
        <f>IF('Revisor A'!G17&lt;&gt;"",'Revisor A'!G17,IF('Revisor A'!F17="","não preenchido",IF(ABS(N('Revisor A'!F17)-N(INDEX(Gabarito!$B:$B,MATCH($A17,Gabarito!$A:$A,0))))&lt;=1,"confere","diverge")))</f>
        <v/>
      </c>
      <c r="D17">
        <f>IF('Revisor A'!I17&lt;&gt;"",'Revisor A'!I17,IF('Revisor A'!H17="","não preenchido",IF(ABS(N('Revisor A'!H17)-N(INDEX(Gabarito!$C:$C,MATCH($A17,Gabarito!$A:$A,0))))&lt;=1,"confere","diverge")))</f>
        <v/>
      </c>
      <c r="E17">
        <f>IF('Revisor A'!K17&lt;&gt;"",'Revisor A'!K17,IF('Revisor A'!J17="","não preenchido",IF(LOWER(TRIM('Revisor A'!J17))=LOWER(TRIM(INDEX(Gabarito!$D:$D,MATCH($A17,Gabarito!$A:$A,0)))),"confere","diverge")))</f>
        <v/>
      </c>
      <c r="F17">
        <f>IF('Revisor A'!M17&lt;&gt;"",'Revisor A'!M17,IF('Revisor A'!L17="","não preenchido",IF(LOWER(TRIM('Revisor A'!L17))=LOWER(TRIM(INDEX(Gabarito!$E:$E,MATCH($A17,Gabarito!$A:$A,0)))),"confere","diverge")))</f>
        <v/>
      </c>
      <c r="G17">
        <f>IF('Revisor A'!O17&lt;&gt;"",'Revisor A'!O17,IF('Revisor A'!N17="","não preenchido",IF(LOWER(TRIM('Revisor A'!N17))=LOWER(TRIM(INDEX(Gabarito!$F:$F,MATCH($A17,Gabarito!$A:$A,0)))),"confere","diverge")))</f>
        <v/>
      </c>
      <c r="H17">
        <f>IF('Revisor A'!Q17&lt;&gt;"",'Revisor A'!Q17,IF('Revisor A'!P17="","não preenchido",IF(LOWER(TRIM('Revisor A'!P17))=LOWER(TRIM(INDEX(Gabarito!$G:$G,MATCH($A17,Gabarito!$A:$A,0)))),"confere","diverge")))</f>
        <v/>
      </c>
      <c r="I17">
        <f>IF('Revisor A'!S17&lt;&gt;"",'Revisor A'!S17,IF('Revisor A'!R17="","não preenchido",IF(LOWER(TRIM('Revisor A'!R17))=LOWER(TRIM(INDEX(Gabarito!$H:$H,MATCH($A17,Gabarito!$A:$A,0)))),"confere","diverge")))</f>
        <v/>
      </c>
      <c r="J17">
        <f>IF('Revisor A'!U17&lt;&gt;"",'Revisor A'!U17,IF('Revisor A'!T17="","não preenchido",IF(LOWER(TRIM('Revisor A'!T17))=LOWER(TRIM(INDEX(Gabarito!$I:$I,MATCH($A17,Gabarito!$A:$A,0)))),"confere","diverge")))</f>
        <v/>
      </c>
      <c r="K17">
        <f>IF('Revisor A'!W17&lt;&gt;"",'Revisor A'!W17,IF('Revisor A'!V17="","não preenchido",IF(LOWER(TRIM('Revisor A'!V17))=LOWER(TRIM(INDEX(Gabarito!$J:$J,MATCH($A17,Gabarito!$A:$A,0)))),"confere","diverge")))</f>
        <v/>
      </c>
      <c r="L17">
        <f>IF('Revisor A'!AB17="","não preenchido",'Revisor A'!AB17)</f>
        <v/>
      </c>
      <c r="M17">
        <f>IF('Revisor A'!AC17="","não preenchido",'Revisor A'!AC17)</f>
        <v/>
      </c>
      <c r="N17">
        <f>COUNTIF(C17:K17,"diverge")</f>
        <v/>
      </c>
      <c r="O17">
        <f>IF(COUNTIF(C17:K17,"não preenchido")=9,"não preenchido",IF(N17&gt;0,"diverge","confere"))</f>
        <v/>
      </c>
    </row>
    <row r="18">
      <c r="A18">
        <f>'Revisor A'!A18</f>
        <v/>
      </c>
      <c r="B18">
        <f>IFERROR(INDEX(Gabarito!$M:$M,MATCH($A18,Gabarito!$A:$A,0)),"")</f>
        <v/>
      </c>
      <c r="C18">
        <f>IF('Revisor A'!G18&lt;&gt;"",'Revisor A'!G18,IF('Revisor A'!F18="","não preenchido",IF(ABS(N('Revisor A'!F18)-N(INDEX(Gabarito!$B:$B,MATCH($A18,Gabarito!$A:$A,0))))&lt;=1,"confere","diverge")))</f>
        <v/>
      </c>
      <c r="D18">
        <f>IF('Revisor A'!I18&lt;&gt;"",'Revisor A'!I18,IF('Revisor A'!H18="","não preenchido",IF(ABS(N('Revisor A'!H18)-N(INDEX(Gabarito!$C:$C,MATCH($A18,Gabarito!$A:$A,0))))&lt;=1,"confere","diverge")))</f>
        <v/>
      </c>
      <c r="E18">
        <f>IF('Revisor A'!K18&lt;&gt;"",'Revisor A'!K18,IF('Revisor A'!J18="","não preenchido",IF(LOWER(TRIM('Revisor A'!J18))=LOWER(TRIM(INDEX(Gabarito!$D:$D,MATCH($A18,Gabarito!$A:$A,0)))),"confere","diverge")))</f>
        <v/>
      </c>
      <c r="F18">
        <f>IF('Revisor A'!M18&lt;&gt;"",'Revisor A'!M18,IF('Revisor A'!L18="","não preenchido",IF(LOWER(TRIM('Revisor A'!L18))=LOWER(TRIM(INDEX(Gabarito!$E:$E,MATCH($A18,Gabarito!$A:$A,0)))),"confere","diverge")))</f>
        <v/>
      </c>
      <c r="G18">
        <f>IF('Revisor A'!O18&lt;&gt;"",'Revisor A'!O18,IF('Revisor A'!N18="","não preenchido",IF(LOWER(TRIM('Revisor A'!N18))=LOWER(TRIM(INDEX(Gabarito!$F:$F,MATCH($A18,Gabarito!$A:$A,0)))),"confere","diverge")))</f>
        <v/>
      </c>
      <c r="H18">
        <f>IF('Revisor A'!Q18&lt;&gt;"",'Revisor A'!Q18,IF('Revisor A'!P18="","não preenchido",IF(LOWER(TRIM('Revisor A'!P18))=LOWER(TRIM(INDEX(Gabarito!$G:$G,MATCH($A18,Gabarito!$A:$A,0)))),"confere","diverge")))</f>
        <v/>
      </c>
      <c r="I18">
        <f>IF('Revisor A'!S18&lt;&gt;"",'Revisor A'!S18,IF('Revisor A'!R18="","não preenchido",IF(LOWER(TRIM('Revisor A'!R18))=LOWER(TRIM(INDEX(Gabarito!$H:$H,MATCH($A18,Gabarito!$A:$A,0)))),"confere","diverge")))</f>
        <v/>
      </c>
      <c r="J18">
        <f>IF('Revisor A'!U18&lt;&gt;"",'Revisor A'!U18,IF('Revisor A'!T18="","não preenchido",IF(LOWER(TRIM('Revisor A'!T18))=LOWER(TRIM(INDEX(Gabarito!$I:$I,MATCH($A18,Gabarito!$A:$A,0)))),"confere","diverge")))</f>
        <v/>
      </c>
      <c r="K18">
        <f>IF('Revisor A'!W18&lt;&gt;"",'Revisor A'!W18,IF('Revisor A'!V18="","não preenchido",IF(LOWER(TRIM('Revisor A'!V18))=LOWER(TRIM(INDEX(Gabarito!$J:$J,MATCH($A18,Gabarito!$A:$A,0)))),"confere","diverge")))</f>
        <v/>
      </c>
      <c r="L18">
        <f>IF('Revisor A'!AB18="","não preenchido",'Revisor A'!AB18)</f>
        <v/>
      </c>
      <c r="M18">
        <f>IF('Revisor A'!AC18="","não preenchido",'Revisor A'!AC18)</f>
        <v/>
      </c>
      <c r="N18">
        <f>COUNTIF(C18:K18,"diverge")</f>
        <v/>
      </c>
      <c r="O18">
        <f>IF(COUNTIF(C18:K18,"não preenchido")=9,"não preenchido",IF(N18&gt;0,"diverge","confere"))</f>
        <v/>
      </c>
    </row>
    <row r="19">
      <c r="A19">
        <f>'Revisor A'!A19</f>
        <v/>
      </c>
      <c r="B19">
        <f>IFERROR(INDEX(Gabarito!$M:$M,MATCH($A19,Gabarito!$A:$A,0)),"")</f>
        <v/>
      </c>
      <c r="C19">
        <f>IF('Revisor A'!G19&lt;&gt;"",'Revisor A'!G19,IF('Revisor A'!F19="","não preenchido",IF(ABS(N('Revisor A'!F19)-N(INDEX(Gabarito!$B:$B,MATCH($A19,Gabarito!$A:$A,0))))&lt;=1,"confere","diverge")))</f>
        <v/>
      </c>
      <c r="D19">
        <f>IF('Revisor A'!I19&lt;&gt;"",'Revisor A'!I19,IF('Revisor A'!H19="","não preenchido",IF(ABS(N('Revisor A'!H19)-N(INDEX(Gabarito!$C:$C,MATCH($A19,Gabarito!$A:$A,0))))&lt;=1,"confere","diverge")))</f>
        <v/>
      </c>
      <c r="E19">
        <f>IF('Revisor A'!K19&lt;&gt;"",'Revisor A'!K19,IF('Revisor A'!J19="","não preenchido",IF(LOWER(TRIM('Revisor A'!J19))=LOWER(TRIM(INDEX(Gabarito!$D:$D,MATCH($A19,Gabarito!$A:$A,0)))),"confere","diverge")))</f>
        <v/>
      </c>
      <c r="F19">
        <f>IF('Revisor A'!M19&lt;&gt;"",'Revisor A'!M19,IF('Revisor A'!L19="","não preenchido",IF(LOWER(TRIM('Revisor A'!L19))=LOWER(TRIM(INDEX(Gabarito!$E:$E,MATCH($A19,Gabarito!$A:$A,0)))),"confere","diverge")))</f>
        <v/>
      </c>
      <c r="G19">
        <f>IF('Revisor A'!O19&lt;&gt;"",'Revisor A'!O19,IF('Revisor A'!N19="","não preenchido",IF(LOWER(TRIM('Revisor A'!N19))=LOWER(TRIM(INDEX(Gabarito!$F:$F,MATCH($A19,Gabarito!$A:$A,0)))),"confere","diverge")))</f>
        <v/>
      </c>
      <c r="H19">
        <f>IF('Revisor A'!Q19&lt;&gt;"",'Revisor A'!Q19,IF('Revisor A'!P19="","não preenchido",IF(LOWER(TRIM('Revisor A'!P19))=LOWER(TRIM(INDEX(Gabarito!$G:$G,MATCH($A19,Gabarito!$A:$A,0)))),"confere","diverge")))</f>
        <v/>
      </c>
      <c r="I19">
        <f>IF('Revisor A'!S19&lt;&gt;"",'Revisor A'!S19,IF('Revisor A'!R19="","não preenchido",IF(LOWER(TRIM('Revisor A'!R19))=LOWER(TRIM(INDEX(Gabarito!$H:$H,MATCH($A19,Gabarito!$A:$A,0)))),"confere","diverge")))</f>
        <v/>
      </c>
      <c r="J19">
        <f>IF('Revisor A'!U19&lt;&gt;"",'Revisor A'!U19,IF('Revisor A'!T19="","não preenchido",IF(LOWER(TRIM('Revisor A'!T19))=LOWER(TRIM(INDEX(Gabarito!$I:$I,MATCH($A19,Gabarito!$A:$A,0)))),"confere","diverge")))</f>
        <v/>
      </c>
      <c r="K19">
        <f>IF('Revisor A'!W19&lt;&gt;"",'Revisor A'!W19,IF('Revisor A'!V19="","não preenchido",IF(LOWER(TRIM('Revisor A'!V19))=LOWER(TRIM(INDEX(Gabarito!$J:$J,MATCH($A19,Gabarito!$A:$A,0)))),"confere","diverge")))</f>
        <v/>
      </c>
      <c r="L19">
        <f>IF('Revisor A'!AB19="","não preenchido",'Revisor A'!AB19)</f>
        <v/>
      </c>
      <c r="M19">
        <f>IF('Revisor A'!AC19="","não preenchido",'Revisor A'!AC19)</f>
        <v/>
      </c>
      <c r="N19">
        <f>COUNTIF(C19:K19,"diverge")</f>
        <v/>
      </c>
      <c r="O19">
        <f>IF(COUNTIF(C19:K19,"não preenchido")=9,"não preenchido",IF(N19&gt;0,"diverge","confere"))</f>
        <v/>
      </c>
    </row>
    <row r="20">
      <c r="A20">
        <f>'Revisor A'!A20</f>
        <v/>
      </c>
      <c r="B20">
        <f>IFERROR(INDEX(Gabarito!$M:$M,MATCH($A20,Gabarito!$A:$A,0)),"")</f>
        <v/>
      </c>
      <c r="C20">
        <f>IF('Revisor A'!G20&lt;&gt;"",'Revisor A'!G20,IF('Revisor A'!F20="","não preenchido",IF(ABS(N('Revisor A'!F20)-N(INDEX(Gabarito!$B:$B,MATCH($A20,Gabarito!$A:$A,0))))&lt;=1,"confere","diverge")))</f>
        <v/>
      </c>
      <c r="D20">
        <f>IF('Revisor A'!I20&lt;&gt;"",'Revisor A'!I20,IF('Revisor A'!H20="","não preenchido",IF(ABS(N('Revisor A'!H20)-N(INDEX(Gabarito!$C:$C,MATCH($A20,Gabarito!$A:$A,0))))&lt;=1,"confere","diverge")))</f>
        <v/>
      </c>
      <c r="E20">
        <f>IF('Revisor A'!K20&lt;&gt;"",'Revisor A'!K20,IF('Revisor A'!J20="","não preenchido",IF(LOWER(TRIM('Revisor A'!J20))=LOWER(TRIM(INDEX(Gabarito!$D:$D,MATCH($A20,Gabarito!$A:$A,0)))),"confere","diverge")))</f>
        <v/>
      </c>
      <c r="F20">
        <f>IF('Revisor A'!M20&lt;&gt;"",'Revisor A'!M20,IF('Revisor A'!L20="","não preenchido",IF(LOWER(TRIM('Revisor A'!L20))=LOWER(TRIM(INDEX(Gabarito!$E:$E,MATCH($A20,Gabarito!$A:$A,0)))),"confere","diverge")))</f>
        <v/>
      </c>
      <c r="G20">
        <f>IF('Revisor A'!O20&lt;&gt;"",'Revisor A'!O20,IF('Revisor A'!N20="","não preenchido",IF(LOWER(TRIM('Revisor A'!N20))=LOWER(TRIM(INDEX(Gabarito!$F:$F,MATCH($A20,Gabarito!$A:$A,0)))),"confere","diverge")))</f>
        <v/>
      </c>
      <c r="H20">
        <f>IF('Revisor A'!Q20&lt;&gt;"",'Revisor A'!Q20,IF('Revisor A'!P20="","não preenchido",IF(LOWER(TRIM('Revisor A'!P20))=LOWER(TRIM(INDEX(Gabarito!$G:$G,MATCH($A20,Gabarito!$A:$A,0)))),"confere","diverge")))</f>
        <v/>
      </c>
      <c r="I20">
        <f>IF('Revisor A'!S20&lt;&gt;"",'Revisor A'!S20,IF('Revisor A'!R20="","não preenchido",IF(LOWER(TRIM('Revisor A'!R20))=LOWER(TRIM(INDEX(Gabarito!$H:$H,MATCH($A20,Gabarito!$A:$A,0)))),"confere","diverge")))</f>
        <v/>
      </c>
      <c r="J20">
        <f>IF('Revisor A'!U20&lt;&gt;"",'Revisor A'!U20,IF('Revisor A'!T20="","não preenchido",IF(LOWER(TRIM('Revisor A'!T20))=LOWER(TRIM(INDEX(Gabarito!$I:$I,MATCH($A20,Gabarito!$A:$A,0)))),"confere","diverge")))</f>
        <v/>
      </c>
      <c r="K20">
        <f>IF('Revisor A'!W20&lt;&gt;"",'Revisor A'!W20,IF('Revisor A'!V20="","não preenchido",IF(LOWER(TRIM('Revisor A'!V20))=LOWER(TRIM(INDEX(Gabarito!$J:$J,MATCH($A20,Gabarito!$A:$A,0)))),"confere","diverge")))</f>
        <v/>
      </c>
      <c r="L20">
        <f>IF('Revisor A'!AB20="","não preenchido",'Revisor A'!AB20)</f>
        <v/>
      </c>
      <c r="M20">
        <f>IF('Revisor A'!AC20="","não preenchido",'Revisor A'!AC20)</f>
        <v/>
      </c>
      <c r="N20">
        <f>COUNTIF(C20:K20,"diverge")</f>
        <v/>
      </c>
      <c r="O20">
        <f>IF(COUNTIF(C20:K20,"não preenchido")=9,"não preenchido",IF(N20&gt;0,"diverge","confere"))</f>
        <v/>
      </c>
    </row>
    <row r="21">
      <c r="A21">
        <f>'Revisor A'!A21</f>
        <v/>
      </c>
      <c r="B21">
        <f>IFERROR(INDEX(Gabarito!$M:$M,MATCH($A21,Gabarito!$A:$A,0)),"")</f>
        <v/>
      </c>
      <c r="C21">
        <f>IF('Revisor A'!G21&lt;&gt;"",'Revisor A'!G21,IF('Revisor A'!F21="","não preenchido",IF(ABS(N('Revisor A'!F21)-N(INDEX(Gabarito!$B:$B,MATCH($A21,Gabarito!$A:$A,0))))&lt;=1,"confere","diverge")))</f>
        <v/>
      </c>
      <c r="D21">
        <f>IF('Revisor A'!I21&lt;&gt;"",'Revisor A'!I21,IF('Revisor A'!H21="","não preenchido",IF(ABS(N('Revisor A'!H21)-N(INDEX(Gabarito!$C:$C,MATCH($A21,Gabarito!$A:$A,0))))&lt;=1,"confere","diverge")))</f>
        <v/>
      </c>
      <c r="E21">
        <f>IF('Revisor A'!K21&lt;&gt;"",'Revisor A'!K21,IF('Revisor A'!J21="","não preenchido",IF(LOWER(TRIM('Revisor A'!J21))=LOWER(TRIM(INDEX(Gabarito!$D:$D,MATCH($A21,Gabarito!$A:$A,0)))),"confere","diverge")))</f>
        <v/>
      </c>
      <c r="F21">
        <f>IF('Revisor A'!M21&lt;&gt;"",'Revisor A'!M21,IF('Revisor A'!L21="","não preenchido",IF(LOWER(TRIM('Revisor A'!L21))=LOWER(TRIM(INDEX(Gabarito!$E:$E,MATCH($A21,Gabarito!$A:$A,0)))),"confere","diverge")))</f>
        <v/>
      </c>
      <c r="G21">
        <f>IF('Revisor A'!O21&lt;&gt;"",'Revisor A'!O21,IF('Revisor A'!N21="","não preenchido",IF(LOWER(TRIM('Revisor A'!N21))=LOWER(TRIM(INDEX(Gabarito!$F:$F,MATCH($A21,Gabarito!$A:$A,0)))),"confere","diverge")))</f>
        <v/>
      </c>
      <c r="H21">
        <f>IF('Revisor A'!Q21&lt;&gt;"",'Revisor A'!Q21,IF('Revisor A'!P21="","não preenchido",IF(LOWER(TRIM('Revisor A'!P21))=LOWER(TRIM(INDEX(Gabarito!$G:$G,MATCH($A21,Gabarito!$A:$A,0)))),"confere","diverge")))</f>
        <v/>
      </c>
      <c r="I21">
        <f>IF('Revisor A'!S21&lt;&gt;"",'Revisor A'!S21,IF('Revisor A'!R21="","não preenchido",IF(LOWER(TRIM('Revisor A'!R21))=LOWER(TRIM(INDEX(Gabarito!$H:$H,MATCH($A21,Gabarito!$A:$A,0)))),"confere","diverge")))</f>
        <v/>
      </c>
      <c r="J21">
        <f>IF('Revisor A'!U21&lt;&gt;"",'Revisor A'!U21,IF('Revisor A'!T21="","não preenchido",IF(LOWER(TRIM('Revisor A'!T21))=LOWER(TRIM(INDEX(Gabarito!$I:$I,MATCH($A21,Gabarito!$A:$A,0)))),"confere","diverge")))</f>
        <v/>
      </c>
      <c r="K21">
        <f>IF('Revisor A'!W21&lt;&gt;"",'Revisor A'!W21,IF('Revisor A'!V21="","não preenchido",IF(LOWER(TRIM('Revisor A'!V21))=LOWER(TRIM(INDEX(Gabarito!$J:$J,MATCH($A21,Gabarito!$A:$A,0)))),"confere","diverge")))</f>
        <v/>
      </c>
      <c r="L21">
        <f>IF('Revisor A'!AB21="","não preenchido",'Revisor A'!AB21)</f>
        <v/>
      </c>
      <c r="M21">
        <f>IF('Revisor A'!AC21="","não preenchido",'Revisor A'!AC21)</f>
        <v/>
      </c>
      <c r="N21">
        <f>COUNTIF(C21:K21,"diverge")</f>
        <v/>
      </c>
      <c r="O21">
        <f>IF(COUNTIF(C21:K21,"não preenchido")=9,"não preenchido",IF(N21&gt;0,"diverge","confere"))</f>
        <v/>
      </c>
    </row>
    <row r="22">
      <c r="A22">
        <f>'Revisor A'!A22</f>
        <v/>
      </c>
      <c r="B22">
        <f>IFERROR(INDEX(Gabarito!$M:$M,MATCH($A22,Gabarito!$A:$A,0)),"")</f>
        <v/>
      </c>
      <c r="C22">
        <f>IF('Revisor A'!G22&lt;&gt;"",'Revisor A'!G22,IF('Revisor A'!F22="","não preenchido",IF(ABS(N('Revisor A'!F22)-N(INDEX(Gabarito!$B:$B,MATCH($A22,Gabarito!$A:$A,0))))&lt;=1,"confere","diverge")))</f>
        <v/>
      </c>
      <c r="D22">
        <f>IF('Revisor A'!I22&lt;&gt;"",'Revisor A'!I22,IF('Revisor A'!H22="","não preenchido",IF(ABS(N('Revisor A'!H22)-N(INDEX(Gabarito!$C:$C,MATCH($A22,Gabarito!$A:$A,0))))&lt;=1,"confere","diverge")))</f>
        <v/>
      </c>
      <c r="E22">
        <f>IF('Revisor A'!K22&lt;&gt;"",'Revisor A'!K22,IF('Revisor A'!J22="","não preenchido",IF(LOWER(TRIM('Revisor A'!J22))=LOWER(TRIM(INDEX(Gabarito!$D:$D,MATCH($A22,Gabarito!$A:$A,0)))),"confere","diverge")))</f>
        <v/>
      </c>
      <c r="F22">
        <f>IF('Revisor A'!M22&lt;&gt;"",'Revisor A'!M22,IF('Revisor A'!L22="","não preenchido",IF(LOWER(TRIM('Revisor A'!L22))=LOWER(TRIM(INDEX(Gabarito!$E:$E,MATCH($A22,Gabarito!$A:$A,0)))),"confere","diverge")))</f>
        <v/>
      </c>
      <c r="G22">
        <f>IF('Revisor A'!O22&lt;&gt;"",'Revisor A'!O22,IF('Revisor A'!N22="","não preenchido",IF(LOWER(TRIM('Revisor A'!N22))=LOWER(TRIM(INDEX(Gabarito!$F:$F,MATCH($A22,Gabarito!$A:$A,0)))),"confere","diverge")))</f>
        <v/>
      </c>
      <c r="H22">
        <f>IF('Revisor A'!Q22&lt;&gt;"",'Revisor A'!Q22,IF('Revisor A'!P22="","não preenchido",IF(LOWER(TRIM('Revisor A'!P22))=LOWER(TRIM(INDEX(Gabarito!$G:$G,MATCH($A22,Gabarito!$A:$A,0)))),"confere","diverge")))</f>
        <v/>
      </c>
      <c r="I22">
        <f>IF('Revisor A'!S22&lt;&gt;"",'Revisor A'!S22,IF('Revisor A'!R22="","não preenchido",IF(LOWER(TRIM('Revisor A'!R22))=LOWER(TRIM(INDEX(Gabarito!$H:$H,MATCH($A22,Gabarito!$A:$A,0)))),"confere","diverge")))</f>
        <v/>
      </c>
      <c r="J22">
        <f>IF('Revisor A'!U22&lt;&gt;"",'Revisor A'!U22,IF('Revisor A'!T22="","não preenchido",IF(LOWER(TRIM('Revisor A'!T22))=LOWER(TRIM(INDEX(Gabarito!$I:$I,MATCH($A22,Gabarito!$A:$A,0)))),"confere","diverge")))</f>
        <v/>
      </c>
      <c r="K22">
        <f>IF('Revisor A'!W22&lt;&gt;"",'Revisor A'!W22,IF('Revisor A'!V22="","não preenchido",IF(LOWER(TRIM('Revisor A'!V22))=LOWER(TRIM(INDEX(Gabarito!$J:$J,MATCH($A22,Gabarito!$A:$A,0)))),"confere","diverge")))</f>
        <v/>
      </c>
      <c r="L22">
        <f>IF('Revisor A'!AB22="","não preenchido",'Revisor A'!AB22)</f>
        <v/>
      </c>
      <c r="M22">
        <f>IF('Revisor A'!AC22="","não preenchido",'Revisor A'!AC22)</f>
        <v/>
      </c>
      <c r="N22">
        <f>COUNTIF(C22:K22,"diverge")</f>
        <v/>
      </c>
      <c r="O22">
        <f>IF(COUNTIF(C22:K22,"não preenchido")=9,"não preenchido",IF(N22&gt;0,"diverge","confere"))</f>
        <v/>
      </c>
    </row>
    <row r="23">
      <c r="A23">
        <f>'Revisor A'!A23</f>
        <v/>
      </c>
      <c r="B23">
        <f>IFERROR(INDEX(Gabarito!$M:$M,MATCH($A23,Gabarito!$A:$A,0)),"")</f>
        <v/>
      </c>
      <c r="C23">
        <f>IF('Revisor A'!G23&lt;&gt;"",'Revisor A'!G23,IF('Revisor A'!F23="","não preenchido",IF(ABS(N('Revisor A'!F23)-N(INDEX(Gabarito!$B:$B,MATCH($A23,Gabarito!$A:$A,0))))&lt;=1,"confere","diverge")))</f>
        <v/>
      </c>
      <c r="D23">
        <f>IF('Revisor A'!I23&lt;&gt;"",'Revisor A'!I23,IF('Revisor A'!H23="","não preenchido",IF(ABS(N('Revisor A'!H23)-N(INDEX(Gabarito!$C:$C,MATCH($A23,Gabarito!$A:$A,0))))&lt;=1,"confere","diverge")))</f>
        <v/>
      </c>
      <c r="E23">
        <f>IF('Revisor A'!K23&lt;&gt;"",'Revisor A'!K23,IF('Revisor A'!J23="","não preenchido",IF(LOWER(TRIM('Revisor A'!J23))=LOWER(TRIM(INDEX(Gabarito!$D:$D,MATCH($A23,Gabarito!$A:$A,0)))),"confere","diverge")))</f>
        <v/>
      </c>
      <c r="F23">
        <f>IF('Revisor A'!M23&lt;&gt;"",'Revisor A'!M23,IF('Revisor A'!L23="","não preenchido",IF(LOWER(TRIM('Revisor A'!L23))=LOWER(TRIM(INDEX(Gabarito!$E:$E,MATCH($A23,Gabarito!$A:$A,0)))),"confere","diverge")))</f>
        <v/>
      </c>
      <c r="G23">
        <f>IF('Revisor A'!O23&lt;&gt;"",'Revisor A'!O23,IF('Revisor A'!N23="","não preenchido",IF(LOWER(TRIM('Revisor A'!N23))=LOWER(TRIM(INDEX(Gabarito!$F:$F,MATCH($A23,Gabarito!$A:$A,0)))),"confere","diverge")))</f>
        <v/>
      </c>
      <c r="H23">
        <f>IF('Revisor A'!Q23&lt;&gt;"",'Revisor A'!Q23,IF('Revisor A'!P23="","não preenchido",IF(LOWER(TRIM('Revisor A'!P23))=LOWER(TRIM(INDEX(Gabarito!$G:$G,MATCH($A23,Gabarito!$A:$A,0)))),"confere","diverge")))</f>
        <v/>
      </c>
      <c r="I23">
        <f>IF('Revisor A'!S23&lt;&gt;"",'Revisor A'!S23,IF('Revisor A'!R23="","não preenchido",IF(LOWER(TRIM('Revisor A'!R23))=LOWER(TRIM(INDEX(Gabarito!$H:$H,MATCH($A23,Gabarito!$A:$A,0)))),"confere","diverge")))</f>
        <v/>
      </c>
      <c r="J23">
        <f>IF('Revisor A'!U23&lt;&gt;"",'Revisor A'!U23,IF('Revisor A'!T23="","não preenchido",IF(LOWER(TRIM('Revisor A'!T23))=LOWER(TRIM(INDEX(Gabarito!$I:$I,MATCH($A23,Gabarito!$A:$A,0)))),"confere","diverge")))</f>
        <v/>
      </c>
      <c r="K23">
        <f>IF('Revisor A'!W23&lt;&gt;"",'Revisor A'!W23,IF('Revisor A'!V23="","não preenchido",IF(LOWER(TRIM('Revisor A'!V23))=LOWER(TRIM(INDEX(Gabarito!$J:$J,MATCH($A23,Gabarito!$A:$A,0)))),"confere","diverge")))</f>
        <v/>
      </c>
      <c r="L23">
        <f>IF('Revisor A'!AB23="","não preenchido",'Revisor A'!AB23)</f>
        <v/>
      </c>
      <c r="M23">
        <f>IF('Revisor A'!AC23="","não preenchido",'Revisor A'!AC23)</f>
        <v/>
      </c>
      <c r="N23">
        <f>COUNTIF(C23:K23,"diverge")</f>
        <v/>
      </c>
      <c r="O23">
        <f>IF(COUNTIF(C23:K23,"não preenchido")=9,"não preenchido",IF(N23&gt;0,"diverge","confere"))</f>
        <v/>
      </c>
    </row>
    <row r="24">
      <c r="A24">
        <f>'Revisor A'!A24</f>
        <v/>
      </c>
      <c r="B24">
        <f>IFERROR(INDEX(Gabarito!$M:$M,MATCH($A24,Gabarito!$A:$A,0)),"")</f>
        <v/>
      </c>
      <c r="C24">
        <f>IF('Revisor A'!G24&lt;&gt;"",'Revisor A'!G24,IF('Revisor A'!F24="","não preenchido",IF(ABS(N('Revisor A'!F24)-N(INDEX(Gabarito!$B:$B,MATCH($A24,Gabarito!$A:$A,0))))&lt;=1,"confere","diverge")))</f>
        <v/>
      </c>
      <c r="D24">
        <f>IF('Revisor A'!I24&lt;&gt;"",'Revisor A'!I24,IF('Revisor A'!H24="","não preenchido",IF(ABS(N('Revisor A'!H24)-N(INDEX(Gabarito!$C:$C,MATCH($A24,Gabarito!$A:$A,0))))&lt;=1,"confere","diverge")))</f>
        <v/>
      </c>
      <c r="E24">
        <f>IF('Revisor A'!K24&lt;&gt;"",'Revisor A'!K24,IF('Revisor A'!J24="","não preenchido",IF(LOWER(TRIM('Revisor A'!J24))=LOWER(TRIM(INDEX(Gabarito!$D:$D,MATCH($A24,Gabarito!$A:$A,0)))),"confere","diverge")))</f>
        <v/>
      </c>
      <c r="F24">
        <f>IF('Revisor A'!M24&lt;&gt;"",'Revisor A'!M24,IF('Revisor A'!L24="","não preenchido",IF(LOWER(TRIM('Revisor A'!L24))=LOWER(TRIM(INDEX(Gabarito!$E:$E,MATCH($A24,Gabarito!$A:$A,0)))),"confere","diverge")))</f>
        <v/>
      </c>
      <c r="G24">
        <f>IF('Revisor A'!O24&lt;&gt;"",'Revisor A'!O24,IF('Revisor A'!N24="","não preenchido",IF(LOWER(TRIM('Revisor A'!N24))=LOWER(TRIM(INDEX(Gabarito!$F:$F,MATCH($A24,Gabarito!$A:$A,0)))),"confere","diverge")))</f>
        <v/>
      </c>
      <c r="H24">
        <f>IF('Revisor A'!Q24&lt;&gt;"",'Revisor A'!Q24,IF('Revisor A'!P24="","não preenchido",IF(LOWER(TRIM('Revisor A'!P24))=LOWER(TRIM(INDEX(Gabarito!$G:$G,MATCH($A24,Gabarito!$A:$A,0)))),"confere","diverge")))</f>
        <v/>
      </c>
      <c r="I24">
        <f>IF('Revisor A'!S24&lt;&gt;"",'Revisor A'!S24,IF('Revisor A'!R24="","não preenchido",IF(LOWER(TRIM('Revisor A'!R24))=LOWER(TRIM(INDEX(Gabarito!$H:$H,MATCH($A24,Gabarito!$A:$A,0)))),"confere","diverge")))</f>
        <v/>
      </c>
      <c r="J24">
        <f>IF('Revisor A'!U24&lt;&gt;"",'Revisor A'!U24,IF('Revisor A'!T24="","não preenchido",IF(LOWER(TRIM('Revisor A'!T24))=LOWER(TRIM(INDEX(Gabarito!$I:$I,MATCH($A24,Gabarito!$A:$A,0)))),"confere","diverge")))</f>
        <v/>
      </c>
      <c r="K24">
        <f>IF('Revisor A'!W24&lt;&gt;"",'Revisor A'!W24,IF('Revisor A'!V24="","não preenchido",IF(LOWER(TRIM('Revisor A'!V24))=LOWER(TRIM(INDEX(Gabarito!$J:$J,MATCH($A24,Gabarito!$A:$A,0)))),"confere","diverge")))</f>
        <v/>
      </c>
      <c r="L24">
        <f>IF('Revisor A'!AB24="","não preenchido",'Revisor A'!AB24)</f>
        <v/>
      </c>
      <c r="M24">
        <f>IF('Revisor A'!AC24="","não preenchido",'Revisor A'!AC24)</f>
        <v/>
      </c>
      <c r="N24">
        <f>COUNTIF(C24:K24,"diverge")</f>
        <v/>
      </c>
      <c r="O24">
        <f>IF(COUNTIF(C24:K24,"não preenchido")=9,"não preenchido",IF(N24&gt;0,"diverge","confere"))</f>
        <v/>
      </c>
    </row>
    <row r="25">
      <c r="A25">
        <f>'Revisor A'!A25</f>
        <v/>
      </c>
      <c r="B25">
        <f>IFERROR(INDEX(Gabarito!$M:$M,MATCH($A25,Gabarito!$A:$A,0)),"")</f>
        <v/>
      </c>
      <c r="C25">
        <f>IF('Revisor A'!G25&lt;&gt;"",'Revisor A'!G25,IF('Revisor A'!F25="","não preenchido",IF(ABS(N('Revisor A'!F25)-N(INDEX(Gabarito!$B:$B,MATCH($A25,Gabarito!$A:$A,0))))&lt;=1,"confere","diverge")))</f>
        <v/>
      </c>
      <c r="D25">
        <f>IF('Revisor A'!I25&lt;&gt;"",'Revisor A'!I25,IF('Revisor A'!H25="","não preenchido",IF(ABS(N('Revisor A'!H25)-N(INDEX(Gabarito!$C:$C,MATCH($A25,Gabarito!$A:$A,0))))&lt;=1,"confere","diverge")))</f>
        <v/>
      </c>
      <c r="E25">
        <f>IF('Revisor A'!K25&lt;&gt;"",'Revisor A'!K25,IF('Revisor A'!J25="","não preenchido",IF(LOWER(TRIM('Revisor A'!J25))=LOWER(TRIM(INDEX(Gabarito!$D:$D,MATCH($A25,Gabarito!$A:$A,0)))),"confere","diverge")))</f>
        <v/>
      </c>
      <c r="F25">
        <f>IF('Revisor A'!M25&lt;&gt;"",'Revisor A'!M25,IF('Revisor A'!L25="","não preenchido",IF(LOWER(TRIM('Revisor A'!L25))=LOWER(TRIM(INDEX(Gabarito!$E:$E,MATCH($A25,Gabarito!$A:$A,0)))),"confere","diverge")))</f>
        <v/>
      </c>
      <c r="G25">
        <f>IF('Revisor A'!O25&lt;&gt;"",'Revisor A'!O25,IF('Revisor A'!N25="","não preenchido",IF(LOWER(TRIM('Revisor A'!N25))=LOWER(TRIM(INDEX(Gabarito!$F:$F,MATCH($A25,Gabarito!$A:$A,0)))),"confere","diverge")))</f>
        <v/>
      </c>
      <c r="H25">
        <f>IF('Revisor A'!Q25&lt;&gt;"",'Revisor A'!Q25,IF('Revisor A'!P25="","não preenchido",IF(LOWER(TRIM('Revisor A'!P25))=LOWER(TRIM(INDEX(Gabarito!$G:$G,MATCH($A25,Gabarito!$A:$A,0)))),"confere","diverge")))</f>
        <v/>
      </c>
      <c r="I25">
        <f>IF('Revisor A'!S25&lt;&gt;"",'Revisor A'!S25,IF('Revisor A'!R25="","não preenchido",IF(LOWER(TRIM('Revisor A'!R25))=LOWER(TRIM(INDEX(Gabarito!$H:$H,MATCH($A25,Gabarito!$A:$A,0)))),"confere","diverge")))</f>
        <v/>
      </c>
      <c r="J25">
        <f>IF('Revisor A'!U25&lt;&gt;"",'Revisor A'!U25,IF('Revisor A'!T25="","não preenchido",IF(LOWER(TRIM('Revisor A'!T25))=LOWER(TRIM(INDEX(Gabarito!$I:$I,MATCH($A25,Gabarito!$A:$A,0)))),"confere","diverge")))</f>
        <v/>
      </c>
      <c r="K25">
        <f>IF('Revisor A'!W25&lt;&gt;"",'Revisor A'!W25,IF('Revisor A'!V25="","não preenchido",IF(LOWER(TRIM('Revisor A'!V25))=LOWER(TRIM(INDEX(Gabarito!$J:$J,MATCH($A25,Gabarito!$A:$A,0)))),"confere","diverge")))</f>
        <v/>
      </c>
      <c r="L25">
        <f>IF('Revisor A'!AB25="","não preenchido",'Revisor A'!AB25)</f>
        <v/>
      </c>
      <c r="M25">
        <f>IF('Revisor A'!AC25="","não preenchido",'Revisor A'!AC25)</f>
        <v/>
      </c>
      <c r="N25">
        <f>COUNTIF(C25:K25,"diverge")</f>
        <v/>
      </c>
      <c r="O25">
        <f>IF(COUNTIF(C25:K25,"não preenchido")=9,"não preenchido",IF(N25&gt;0,"diverge","confere"))</f>
        <v/>
      </c>
    </row>
    <row r="26">
      <c r="A26">
        <f>'Revisor A'!A26</f>
        <v/>
      </c>
      <c r="B26">
        <f>IFERROR(INDEX(Gabarito!$M:$M,MATCH($A26,Gabarito!$A:$A,0)),"")</f>
        <v/>
      </c>
      <c r="C26">
        <f>IF('Revisor A'!G26&lt;&gt;"",'Revisor A'!G26,IF('Revisor A'!F26="","não preenchido",IF(ABS(N('Revisor A'!F26)-N(INDEX(Gabarito!$B:$B,MATCH($A26,Gabarito!$A:$A,0))))&lt;=1,"confere","diverge")))</f>
        <v/>
      </c>
      <c r="D26">
        <f>IF('Revisor A'!I26&lt;&gt;"",'Revisor A'!I26,IF('Revisor A'!H26="","não preenchido",IF(ABS(N('Revisor A'!H26)-N(INDEX(Gabarito!$C:$C,MATCH($A26,Gabarito!$A:$A,0))))&lt;=1,"confere","diverge")))</f>
        <v/>
      </c>
      <c r="E26">
        <f>IF('Revisor A'!K26&lt;&gt;"",'Revisor A'!K26,IF('Revisor A'!J26="","não preenchido",IF(LOWER(TRIM('Revisor A'!J26))=LOWER(TRIM(INDEX(Gabarito!$D:$D,MATCH($A26,Gabarito!$A:$A,0)))),"confere","diverge")))</f>
        <v/>
      </c>
      <c r="F26">
        <f>IF('Revisor A'!M26&lt;&gt;"",'Revisor A'!M26,IF('Revisor A'!L26="","não preenchido",IF(LOWER(TRIM('Revisor A'!L26))=LOWER(TRIM(INDEX(Gabarito!$E:$E,MATCH($A26,Gabarito!$A:$A,0)))),"confere","diverge")))</f>
        <v/>
      </c>
      <c r="G26">
        <f>IF('Revisor A'!O26&lt;&gt;"",'Revisor A'!O26,IF('Revisor A'!N26="","não preenchido",IF(LOWER(TRIM('Revisor A'!N26))=LOWER(TRIM(INDEX(Gabarito!$F:$F,MATCH($A26,Gabarito!$A:$A,0)))),"confere","diverge")))</f>
        <v/>
      </c>
      <c r="H26">
        <f>IF('Revisor A'!Q26&lt;&gt;"",'Revisor A'!Q26,IF('Revisor A'!P26="","não preenchido",IF(LOWER(TRIM('Revisor A'!P26))=LOWER(TRIM(INDEX(Gabarito!$G:$G,MATCH($A26,Gabarito!$A:$A,0)))),"confere","diverge")))</f>
        <v/>
      </c>
      <c r="I26">
        <f>IF('Revisor A'!S26&lt;&gt;"",'Revisor A'!S26,IF('Revisor A'!R26="","não preenchido",IF(LOWER(TRIM('Revisor A'!R26))=LOWER(TRIM(INDEX(Gabarito!$H:$H,MATCH($A26,Gabarito!$A:$A,0)))),"confere","diverge")))</f>
        <v/>
      </c>
      <c r="J26">
        <f>IF('Revisor A'!U26&lt;&gt;"",'Revisor A'!U26,IF('Revisor A'!T26="","não preenchido",IF(LOWER(TRIM('Revisor A'!T26))=LOWER(TRIM(INDEX(Gabarito!$I:$I,MATCH($A26,Gabarito!$A:$A,0)))),"confere","diverge")))</f>
        <v/>
      </c>
      <c r="K26">
        <f>IF('Revisor A'!W26&lt;&gt;"",'Revisor A'!W26,IF('Revisor A'!V26="","não preenchido",IF(LOWER(TRIM('Revisor A'!V26))=LOWER(TRIM(INDEX(Gabarito!$J:$J,MATCH($A26,Gabarito!$A:$A,0)))),"confere","diverge")))</f>
        <v/>
      </c>
      <c r="L26">
        <f>IF('Revisor A'!AB26="","não preenchido",'Revisor A'!AB26)</f>
        <v/>
      </c>
      <c r="M26">
        <f>IF('Revisor A'!AC26="","não preenchido",'Revisor A'!AC26)</f>
        <v/>
      </c>
      <c r="N26">
        <f>COUNTIF(C26:K26,"diverge")</f>
        <v/>
      </c>
      <c r="O26">
        <f>IF(COUNTIF(C26:K26,"não preenchido")=9,"não preenchido",IF(N26&gt;0,"diverge","confere"))</f>
        <v/>
      </c>
    </row>
    <row r="27">
      <c r="A27">
        <f>'Revisor A'!A27</f>
        <v/>
      </c>
      <c r="B27">
        <f>IFERROR(INDEX(Gabarito!$M:$M,MATCH($A27,Gabarito!$A:$A,0)),"")</f>
        <v/>
      </c>
      <c r="C27">
        <f>IF('Revisor A'!G27&lt;&gt;"",'Revisor A'!G27,IF('Revisor A'!F27="","não preenchido",IF(ABS(N('Revisor A'!F27)-N(INDEX(Gabarito!$B:$B,MATCH($A27,Gabarito!$A:$A,0))))&lt;=1,"confere","diverge")))</f>
        <v/>
      </c>
      <c r="D27">
        <f>IF('Revisor A'!I27&lt;&gt;"",'Revisor A'!I27,IF('Revisor A'!H27="","não preenchido",IF(ABS(N('Revisor A'!H27)-N(INDEX(Gabarito!$C:$C,MATCH($A27,Gabarito!$A:$A,0))))&lt;=1,"confere","diverge")))</f>
        <v/>
      </c>
      <c r="E27">
        <f>IF('Revisor A'!K27&lt;&gt;"",'Revisor A'!K27,IF('Revisor A'!J27="","não preenchido",IF(LOWER(TRIM('Revisor A'!J27))=LOWER(TRIM(INDEX(Gabarito!$D:$D,MATCH($A27,Gabarito!$A:$A,0)))),"confere","diverge")))</f>
        <v/>
      </c>
      <c r="F27">
        <f>IF('Revisor A'!M27&lt;&gt;"",'Revisor A'!M27,IF('Revisor A'!L27="","não preenchido",IF(LOWER(TRIM('Revisor A'!L27))=LOWER(TRIM(INDEX(Gabarito!$E:$E,MATCH($A27,Gabarito!$A:$A,0)))),"confere","diverge")))</f>
        <v/>
      </c>
      <c r="G27">
        <f>IF('Revisor A'!O27&lt;&gt;"",'Revisor A'!O27,IF('Revisor A'!N27="","não preenchido",IF(LOWER(TRIM('Revisor A'!N27))=LOWER(TRIM(INDEX(Gabarito!$F:$F,MATCH($A27,Gabarito!$A:$A,0)))),"confere","diverge")))</f>
        <v/>
      </c>
      <c r="H27">
        <f>IF('Revisor A'!Q27&lt;&gt;"",'Revisor A'!Q27,IF('Revisor A'!P27="","não preenchido",IF(LOWER(TRIM('Revisor A'!P27))=LOWER(TRIM(INDEX(Gabarito!$G:$G,MATCH($A27,Gabarito!$A:$A,0)))),"confere","diverge")))</f>
        <v/>
      </c>
      <c r="I27">
        <f>IF('Revisor A'!S27&lt;&gt;"",'Revisor A'!S27,IF('Revisor A'!R27="","não preenchido",IF(LOWER(TRIM('Revisor A'!R27))=LOWER(TRIM(INDEX(Gabarito!$H:$H,MATCH($A27,Gabarito!$A:$A,0)))),"confere","diverge")))</f>
        <v/>
      </c>
      <c r="J27">
        <f>IF('Revisor A'!U27&lt;&gt;"",'Revisor A'!U27,IF('Revisor A'!T27="","não preenchido",IF(LOWER(TRIM('Revisor A'!T27))=LOWER(TRIM(INDEX(Gabarito!$I:$I,MATCH($A27,Gabarito!$A:$A,0)))),"confere","diverge")))</f>
        <v/>
      </c>
      <c r="K27">
        <f>IF('Revisor A'!W27&lt;&gt;"",'Revisor A'!W27,IF('Revisor A'!V27="","não preenchido",IF(LOWER(TRIM('Revisor A'!V27))=LOWER(TRIM(INDEX(Gabarito!$J:$J,MATCH($A27,Gabarito!$A:$A,0)))),"confere","diverge")))</f>
        <v/>
      </c>
      <c r="L27">
        <f>IF('Revisor A'!AB27="","não preenchido",'Revisor A'!AB27)</f>
        <v/>
      </c>
      <c r="M27">
        <f>IF('Revisor A'!AC27="","não preenchido",'Revisor A'!AC27)</f>
        <v/>
      </c>
      <c r="N27">
        <f>COUNTIF(C27:K27,"diverge")</f>
        <v/>
      </c>
      <c r="O27">
        <f>IF(COUNTIF(C27:K27,"não preenchido")=9,"não preenchido",IF(N27&gt;0,"diverge","confere"))</f>
        <v/>
      </c>
    </row>
    <row r="28">
      <c r="A28">
        <f>'Revisor A'!A28</f>
        <v/>
      </c>
      <c r="B28">
        <f>IFERROR(INDEX(Gabarito!$M:$M,MATCH($A28,Gabarito!$A:$A,0)),"")</f>
        <v/>
      </c>
      <c r="C28">
        <f>IF('Revisor A'!G28&lt;&gt;"",'Revisor A'!G28,IF('Revisor A'!F28="","não preenchido",IF(ABS(N('Revisor A'!F28)-N(INDEX(Gabarito!$B:$B,MATCH($A28,Gabarito!$A:$A,0))))&lt;=1,"confere","diverge")))</f>
        <v/>
      </c>
      <c r="D28">
        <f>IF('Revisor A'!I28&lt;&gt;"",'Revisor A'!I28,IF('Revisor A'!H28="","não preenchido",IF(ABS(N('Revisor A'!H28)-N(INDEX(Gabarito!$C:$C,MATCH($A28,Gabarito!$A:$A,0))))&lt;=1,"confere","diverge")))</f>
        <v/>
      </c>
      <c r="E28">
        <f>IF('Revisor A'!K28&lt;&gt;"",'Revisor A'!K28,IF('Revisor A'!J28="","não preenchido",IF(LOWER(TRIM('Revisor A'!J28))=LOWER(TRIM(INDEX(Gabarito!$D:$D,MATCH($A28,Gabarito!$A:$A,0)))),"confere","diverge")))</f>
        <v/>
      </c>
      <c r="F28">
        <f>IF('Revisor A'!M28&lt;&gt;"",'Revisor A'!M28,IF('Revisor A'!L28="","não preenchido",IF(LOWER(TRIM('Revisor A'!L28))=LOWER(TRIM(INDEX(Gabarito!$E:$E,MATCH($A28,Gabarito!$A:$A,0)))),"confere","diverge")))</f>
        <v/>
      </c>
      <c r="G28">
        <f>IF('Revisor A'!O28&lt;&gt;"",'Revisor A'!O28,IF('Revisor A'!N28="","não preenchido",IF(LOWER(TRIM('Revisor A'!N28))=LOWER(TRIM(INDEX(Gabarito!$F:$F,MATCH($A28,Gabarito!$A:$A,0)))),"confere","diverge")))</f>
        <v/>
      </c>
      <c r="H28">
        <f>IF('Revisor A'!Q28&lt;&gt;"",'Revisor A'!Q28,IF('Revisor A'!P28="","não preenchido",IF(LOWER(TRIM('Revisor A'!P28))=LOWER(TRIM(INDEX(Gabarito!$G:$G,MATCH($A28,Gabarito!$A:$A,0)))),"confere","diverge")))</f>
        <v/>
      </c>
      <c r="I28">
        <f>IF('Revisor A'!S28&lt;&gt;"",'Revisor A'!S28,IF('Revisor A'!R28="","não preenchido",IF(LOWER(TRIM('Revisor A'!R28))=LOWER(TRIM(INDEX(Gabarito!$H:$H,MATCH($A28,Gabarito!$A:$A,0)))),"confere","diverge")))</f>
        <v/>
      </c>
      <c r="J28">
        <f>IF('Revisor A'!U28&lt;&gt;"",'Revisor A'!U28,IF('Revisor A'!T28="","não preenchido",IF(LOWER(TRIM('Revisor A'!T28))=LOWER(TRIM(INDEX(Gabarito!$I:$I,MATCH($A28,Gabarito!$A:$A,0)))),"confere","diverge")))</f>
        <v/>
      </c>
      <c r="K28">
        <f>IF('Revisor A'!W28&lt;&gt;"",'Revisor A'!W28,IF('Revisor A'!V28="","não preenchido",IF(LOWER(TRIM('Revisor A'!V28))=LOWER(TRIM(INDEX(Gabarito!$J:$J,MATCH($A28,Gabarito!$A:$A,0)))),"confere","diverge")))</f>
        <v/>
      </c>
      <c r="L28">
        <f>IF('Revisor A'!AB28="","não preenchido",'Revisor A'!AB28)</f>
        <v/>
      </c>
      <c r="M28">
        <f>IF('Revisor A'!AC28="","não preenchido",'Revisor A'!AC28)</f>
        <v/>
      </c>
      <c r="N28">
        <f>COUNTIF(C28:K28,"diverge")</f>
        <v/>
      </c>
      <c r="O28">
        <f>IF(COUNTIF(C28:K28,"não preenchido")=9,"não preenchido",IF(N28&gt;0,"diverge","confere"))</f>
        <v/>
      </c>
    </row>
    <row r="29">
      <c r="A29">
        <f>'Revisor A'!A29</f>
        <v/>
      </c>
      <c r="B29">
        <f>IFERROR(INDEX(Gabarito!$M:$M,MATCH($A29,Gabarito!$A:$A,0)),"")</f>
        <v/>
      </c>
      <c r="C29">
        <f>IF('Revisor A'!G29&lt;&gt;"",'Revisor A'!G29,IF('Revisor A'!F29="","não preenchido",IF(ABS(N('Revisor A'!F29)-N(INDEX(Gabarito!$B:$B,MATCH($A29,Gabarito!$A:$A,0))))&lt;=1,"confere","diverge")))</f>
        <v/>
      </c>
      <c r="D29">
        <f>IF('Revisor A'!I29&lt;&gt;"",'Revisor A'!I29,IF('Revisor A'!H29="","não preenchido",IF(ABS(N('Revisor A'!H29)-N(INDEX(Gabarito!$C:$C,MATCH($A29,Gabarito!$A:$A,0))))&lt;=1,"confere","diverge")))</f>
        <v/>
      </c>
      <c r="E29">
        <f>IF('Revisor A'!K29&lt;&gt;"",'Revisor A'!K29,IF('Revisor A'!J29="","não preenchido",IF(LOWER(TRIM('Revisor A'!J29))=LOWER(TRIM(INDEX(Gabarito!$D:$D,MATCH($A29,Gabarito!$A:$A,0)))),"confere","diverge")))</f>
        <v/>
      </c>
      <c r="F29">
        <f>IF('Revisor A'!M29&lt;&gt;"",'Revisor A'!M29,IF('Revisor A'!L29="","não preenchido",IF(LOWER(TRIM('Revisor A'!L29))=LOWER(TRIM(INDEX(Gabarito!$E:$E,MATCH($A29,Gabarito!$A:$A,0)))),"confere","diverge")))</f>
        <v/>
      </c>
      <c r="G29">
        <f>IF('Revisor A'!O29&lt;&gt;"",'Revisor A'!O29,IF('Revisor A'!N29="","não preenchido",IF(LOWER(TRIM('Revisor A'!N29))=LOWER(TRIM(INDEX(Gabarito!$F:$F,MATCH($A29,Gabarito!$A:$A,0)))),"confere","diverge")))</f>
        <v/>
      </c>
      <c r="H29">
        <f>IF('Revisor A'!Q29&lt;&gt;"",'Revisor A'!Q29,IF('Revisor A'!P29="","não preenchido",IF(LOWER(TRIM('Revisor A'!P29))=LOWER(TRIM(INDEX(Gabarito!$G:$G,MATCH($A29,Gabarito!$A:$A,0)))),"confere","diverge")))</f>
        <v/>
      </c>
      <c r="I29">
        <f>IF('Revisor A'!S29&lt;&gt;"",'Revisor A'!S29,IF('Revisor A'!R29="","não preenchido",IF(LOWER(TRIM('Revisor A'!R29))=LOWER(TRIM(INDEX(Gabarito!$H:$H,MATCH($A29,Gabarito!$A:$A,0)))),"confere","diverge")))</f>
        <v/>
      </c>
      <c r="J29">
        <f>IF('Revisor A'!U29&lt;&gt;"",'Revisor A'!U29,IF('Revisor A'!T29="","não preenchido",IF(LOWER(TRIM('Revisor A'!T29))=LOWER(TRIM(INDEX(Gabarito!$I:$I,MATCH($A29,Gabarito!$A:$A,0)))),"confere","diverge")))</f>
        <v/>
      </c>
      <c r="K29">
        <f>IF('Revisor A'!W29&lt;&gt;"",'Revisor A'!W29,IF('Revisor A'!V29="","não preenchido",IF(LOWER(TRIM('Revisor A'!V29))=LOWER(TRIM(INDEX(Gabarito!$J:$J,MATCH($A29,Gabarito!$A:$A,0)))),"confere","diverge")))</f>
        <v/>
      </c>
      <c r="L29">
        <f>IF('Revisor A'!AB29="","não preenchido",'Revisor A'!AB29)</f>
        <v/>
      </c>
      <c r="M29">
        <f>IF('Revisor A'!AC29="","não preenchido",'Revisor A'!AC29)</f>
        <v/>
      </c>
      <c r="N29">
        <f>COUNTIF(C29:K29,"diverge")</f>
        <v/>
      </c>
      <c r="O29">
        <f>IF(COUNTIF(C29:K29,"não preenchido")=9,"não preenchido",IF(N29&gt;0,"diverge","confere"))</f>
        <v/>
      </c>
    </row>
    <row r="30">
      <c r="A30">
        <f>'Revisor A'!A30</f>
        <v/>
      </c>
      <c r="B30">
        <f>IFERROR(INDEX(Gabarito!$M:$M,MATCH($A30,Gabarito!$A:$A,0)),"")</f>
        <v/>
      </c>
      <c r="C30">
        <f>IF('Revisor A'!G30&lt;&gt;"",'Revisor A'!G30,IF('Revisor A'!F30="","não preenchido",IF(ABS(N('Revisor A'!F30)-N(INDEX(Gabarito!$B:$B,MATCH($A30,Gabarito!$A:$A,0))))&lt;=1,"confere","diverge")))</f>
        <v/>
      </c>
      <c r="D30">
        <f>IF('Revisor A'!I30&lt;&gt;"",'Revisor A'!I30,IF('Revisor A'!H30="","não preenchido",IF(ABS(N('Revisor A'!H30)-N(INDEX(Gabarito!$C:$C,MATCH($A30,Gabarito!$A:$A,0))))&lt;=1,"confere","diverge")))</f>
        <v/>
      </c>
      <c r="E30">
        <f>IF('Revisor A'!K30&lt;&gt;"",'Revisor A'!K30,IF('Revisor A'!J30="","não preenchido",IF(LOWER(TRIM('Revisor A'!J30))=LOWER(TRIM(INDEX(Gabarito!$D:$D,MATCH($A30,Gabarito!$A:$A,0)))),"confere","diverge")))</f>
        <v/>
      </c>
      <c r="F30">
        <f>IF('Revisor A'!M30&lt;&gt;"",'Revisor A'!M30,IF('Revisor A'!L30="","não preenchido",IF(LOWER(TRIM('Revisor A'!L30))=LOWER(TRIM(INDEX(Gabarito!$E:$E,MATCH($A30,Gabarito!$A:$A,0)))),"confere","diverge")))</f>
        <v/>
      </c>
      <c r="G30">
        <f>IF('Revisor A'!O30&lt;&gt;"",'Revisor A'!O30,IF('Revisor A'!N30="","não preenchido",IF(LOWER(TRIM('Revisor A'!N30))=LOWER(TRIM(INDEX(Gabarito!$F:$F,MATCH($A30,Gabarito!$A:$A,0)))),"confere","diverge")))</f>
        <v/>
      </c>
      <c r="H30">
        <f>IF('Revisor A'!Q30&lt;&gt;"",'Revisor A'!Q30,IF('Revisor A'!P30="","não preenchido",IF(LOWER(TRIM('Revisor A'!P30))=LOWER(TRIM(INDEX(Gabarito!$G:$G,MATCH($A30,Gabarito!$A:$A,0)))),"confere","diverge")))</f>
        <v/>
      </c>
      <c r="I30">
        <f>IF('Revisor A'!S30&lt;&gt;"",'Revisor A'!S30,IF('Revisor A'!R30="","não preenchido",IF(LOWER(TRIM('Revisor A'!R30))=LOWER(TRIM(INDEX(Gabarito!$H:$H,MATCH($A30,Gabarito!$A:$A,0)))),"confere","diverge")))</f>
        <v/>
      </c>
      <c r="J30">
        <f>IF('Revisor A'!U30&lt;&gt;"",'Revisor A'!U30,IF('Revisor A'!T30="","não preenchido",IF(LOWER(TRIM('Revisor A'!T30))=LOWER(TRIM(INDEX(Gabarito!$I:$I,MATCH($A30,Gabarito!$A:$A,0)))),"confere","diverge")))</f>
        <v/>
      </c>
      <c r="K30">
        <f>IF('Revisor A'!W30&lt;&gt;"",'Revisor A'!W30,IF('Revisor A'!V30="","não preenchido",IF(LOWER(TRIM('Revisor A'!V30))=LOWER(TRIM(INDEX(Gabarito!$J:$J,MATCH($A30,Gabarito!$A:$A,0)))),"confere","diverge")))</f>
        <v/>
      </c>
      <c r="L30">
        <f>IF('Revisor A'!AB30="","não preenchido",'Revisor A'!AB30)</f>
        <v/>
      </c>
      <c r="M30">
        <f>IF('Revisor A'!AC30="","não preenchido",'Revisor A'!AC30)</f>
        <v/>
      </c>
      <c r="N30">
        <f>COUNTIF(C30:K30,"diverge")</f>
        <v/>
      </c>
      <c r="O30">
        <f>IF(COUNTIF(C30:K30,"não preenchido")=9,"não preenchido",IF(N30&gt;0,"diverge","confere"))</f>
        <v/>
      </c>
    </row>
    <row r="31">
      <c r="A31">
        <f>'Revisor A'!A31</f>
        <v/>
      </c>
      <c r="B31">
        <f>IFERROR(INDEX(Gabarito!$M:$M,MATCH($A31,Gabarito!$A:$A,0)),"")</f>
        <v/>
      </c>
      <c r="C31">
        <f>IF('Revisor A'!G31&lt;&gt;"",'Revisor A'!G31,IF('Revisor A'!F31="","não preenchido",IF(ABS(N('Revisor A'!F31)-N(INDEX(Gabarito!$B:$B,MATCH($A31,Gabarito!$A:$A,0))))&lt;=1,"confere","diverge")))</f>
        <v/>
      </c>
      <c r="D31">
        <f>IF('Revisor A'!I31&lt;&gt;"",'Revisor A'!I31,IF('Revisor A'!H31="","não preenchido",IF(ABS(N('Revisor A'!H31)-N(INDEX(Gabarito!$C:$C,MATCH($A31,Gabarito!$A:$A,0))))&lt;=1,"confere","diverge")))</f>
        <v/>
      </c>
      <c r="E31">
        <f>IF('Revisor A'!K31&lt;&gt;"",'Revisor A'!K31,IF('Revisor A'!J31="","não preenchido",IF(LOWER(TRIM('Revisor A'!J31))=LOWER(TRIM(INDEX(Gabarito!$D:$D,MATCH($A31,Gabarito!$A:$A,0)))),"confere","diverge")))</f>
        <v/>
      </c>
      <c r="F31">
        <f>IF('Revisor A'!M31&lt;&gt;"",'Revisor A'!M31,IF('Revisor A'!L31="","não preenchido",IF(LOWER(TRIM('Revisor A'!L31))=LOWER(TRIM(INDEX(Gabarito!$E:$E,MATCH($A31,Gabarito!$A:$A,0)))),"confere","diverge")))</f>
        <v/>
      </c>
      <c r="G31">
        <f>IF('Revisor A'!O31&lt;&gt;"",'Revisor A'!O31,IF('Revisor A'!N31="","não preenchido",IF(LOWER(TRIM('Revisor A'!N31))=LOWER(TRIM(INDEX(Gabarito!$F:$F,MATCH($A31,Gabarito!$A:$A,0)))),"confere","diverge")))</f>
        <v/>
      </c>
      <c r="H31">
        <f>IF('Revisor A'!Q31&lt;&gt;"",'Revisor A'!Q31,IF('Revisor A'!P31="","não preenchido",IF(LOWER(TRIM('Revisor A'!P31))=LOWER(TRIM(INDEX(Gabarito!$G:$G,MATCH($A31,Gabarito!$A:$A,0)))),"confere","diverge")))</f>
        <v/>
      </c>
      <c r="I31">
        <f>IF('Revisor A'!S31&lt;&gt;"",'Revisor A'!S31,IF('Revisor A'!R31="","não preenchido",IF(LOWER(TRIM('Revisor A'!R31))=LOWER(TRIM(INDEX(Gabarito!$H:$H,MATCH($A31,Gabarito!$A:$A,0)))),"confere","diverge")))</f>
        <v/>
      </c>
      <c r="J31">
        <f>IF('Revisor A'!U31&lt;&gt;"",'Revisor A'!U31,IF('Revisor A'!T31="","não preenchido",IF(LOWER(TRIM('Revisor A'!T31))=LOWER(TRIM(INDEX(Gabarito!$I:$I,MATCH($A31,Gabarito!$A:$A,0)))),"confere","diverge")))</f>
        <v/>
      </c>
      <c r="K31">
        <f>IF('Revisor A'!W31&lt;&gt;"",'Revisor A'!W31,IF('Revisor A'!V31="","não preenchido",IF(LOWER(TRIM('Revisor A'!V31))=LOWER(TRIM(INDEX(Gabarito!$J:$J,MATCH($A31,Gabarito!$A:$A,0)))),"confere","diverge")))</f>
        <v/>
      </c>
      <c r="L31">
        <f>IF('Revisor A'!AB31="","não preenchido",'Revisor A'!AB31)</f>
        <v/>
      </c>
      <c r="M31">
        <f>IF('Revisor A'!AC31="","não preenchido",'Revisor A'!AC31)</f>
        <v/>
      </c>
      <c r="N31">
        <f>COUNTIF(C31:K31,"diverge")</f>
        <v/>
      </c>
      <c r="O31">
        <f>IF(COUNTIF(C31:K31,"não preenchido")=9,"não preenchido",IF(N31&gt;0,"diverge","confere"))</f>
        <v/>
      </c>
    </row>
    <row r="32">
      <c r="A32">
        <f>'Revisor A'!A32</f>
        <v/>
      </c>
      <c r="B32">
        <f>IFERROR(INDEX(Gabarito!$M:$M,MATCH($A32,Gabarito!$A:$A,0)),"")</f>
        <v/>
      </c>
      <c r="C32">
        <f>IF('Revisor A'!G32&lt;&gt;"",'Revisor A'!G32,IF('Revisor A'!F32="","não preenchido",IF(ABS(N('Revisor A'!F32)-N(INDEX(Gabarito!$B:$B,MATCH($A32,Gabarito!$A:$A,0))))&lt;=1,"confere","diverge")))</f>
        <v/>
      </c>
      <c r="D32">
        <f>IF('Revisor A'!I32&lt;&gt;"",'Revisor A'!I32,IF('Revisor A'!H32="","não preenchido",IF(ABS(N('Revisor A'!H32)-N(INDEX(Gabarito!$C:$C,MATCH($A32,Gabarito!$A:$A,0))))&lt;=1,"confere","diverge")))</f>
        <v/>
      </c>
      <c r="E32">
        <f>IF('Revisor A'!K32&lt;&gt;"",'Revisor A'!K32,IF('Revisor A'!J32="","não preenchido",IF(LOWER(TRIM('Revisor A'!J32))=LOWER(TRIM(INDEX(Gabarito!$D:$D,MATCH($A32,Gabarito!$A:$A,0)))),"confere","diverge")))</f>
        <v/>
      </c>
      <c r="F32">
        <f>IF('Revisor A'!M32&lt;&gt;"",'Revisor A'!M32,IF('Revisor A'!L32="","não preenchido",IF(LOWER(TRIM('Revisor A'!L32))=LOWER(TRIM(INDEX(Gabarito!$E:$E,MATCH($A32,Gabarito!$A:$A,0)))),"confere","diverge")))</f>
        <v/>
      </c>
      <c r="G32">
        <f>IF('Revisor A'!O32&lt;&gt;"",'Revisor A'!O32,IF('Revisor A'!N32="","não preenchido",IF(LOWER(TRIM('Revisor A'!N32))=LOWER(TRIM(INDEX(Gabarito!$F:$F,MATCH($A32,Gabarito!$A:$A,0)))),"confere","diverge")))</f>
        <v/>
      </c>
      <c r="H32">
        <f>IF('Revisor A'!Q32&lt;&gt;"",'Revisor A'!Q32,IF('Revisor A'!P32="","não preenchido",IF(LOWER(TRIM('Revisor A'!P32))=LOWER(TRIM(INDEX(Gabarito!$G:$G,MATCH($A32,Gabarito!$A:$A,0)))),"confere","diverge")))</f>
        <v/>
      </c>
      <c r="I32">
        <f>IF('Revisor A'!S32&lt;&gt;"",'Revisor A'!S32,IF('Revisor A'!R32="","não preenchido",IF(LOWER(TRIM('Revisor A'!R32))=LOWER(TRIM(INDEX(Gabarito!$H:$H,MATCH($A32,Gabarito!$A:$A,0)))),"confere","diverge")))</f>
        <v/>
      </c>
      <c r="J32">
        <f>IF('Revisor A'!U32&lt;&gt;"",'Revisor A'!U32,IF('Revisor A'!T32="","não preenchido",IF(LOWER(TRIM('Revisor A'!T32))=LOWER(TRIM(INDEX(Gabarito!$I:$I,MATCH($A32,Gabarito!$A:$A,0)))),"confere","diverge")))</f>
        <v/>
      </c>
      <c r="K32">
        <f>IF('Revisor A'!W32&lt;&gt;"",'Revisor A'!W32,IF('Revisor A'!V32="","não preenchido",IF(LOWER(TRIM('Revisor A'!V32))=LOWER(TRIM(INDEX(Gabarito!$J:$J,MATCH($A32,Gabarito!$A:$A,0)))),"confere","diverge")))</f>
        <v/>
      </c>
      <c r="L32">
        <f>IF('Revisor A'!AB32="","não preenchido",'Revisor A'!AB32)</f>
        <v/>
      </c>
      <c r="M32">
        <f>IF('Revisor A'!AC32="","não preenchido",'Revisor A'!AC32)</f>
        <v/>
      </c>
      <c r="N32">
        <f>COUNTIF(C32:K32,"diverge")</f>
        <v/>
      </c>
      <c r="O32">
        <f>IF(COUNTIF(C32:K32,"não preenchido")=9,"não preenchido",IF(N32&gt;0,"diverge","confere"))</f>
        <v/>
      </c>
    </row>
    <row r="33">
      <c r="A33">
        <f>'Revisor A'!A33</f>
        <v/>
      </c>
      <c r="B33">
        <f>IFERROR(INDEX(Gabarito!$M:$M,MATCH($A33,Gabarito!$A:$A,0)),"")</f>
        <v/>
      </c>
      <c r="C33">
        <f>IF('Revisor A'!G33&lt;&gt;"",'Revisor A'!G33,IF('Revisor A'!F33="","não preenchido",IF(ABS(N('Revisor A'!F33)-N(INDEX(Gabarito!$B:$B,MATCH($A33,Gabarito!$A:$A,0))))&lt;=1,"confere","diverge")))</f>
        <v/>
      </c>
      <c r="D33">
        <f>IF('Revisor A'!I33&lt;&gt;"",'Revisor A'!I33,IF('Revisor A'!H33="","não preenchido",IF(ABS(N('Revisor A'!H33)-N(INDEX(Gabarito!$C:$C,MATCH($A33,Gabarito!$A:$A,0))))&lt;=1,"confere","diverge")))</f>
        <v/>
      </c>
      <c r="E33">
        <f>IF('Revisor A'!K33&lt;&gt;"",'Revisor A'!K33,IF('Revisor A'!J33="","não preenchido",IF(LOWER(TRIM('Revisor A'!J33))=LOWER(TRIM(INDEX(Gabarito!$D:$D,MATCH($A33,Gabarito!$A:$A,0)))),"confere","diverge")))</f>
        <v/>
      </c>
      <c r="F33">
        <f>IF('Revisor A'!M33&lt;&gt;"",'Revisor A'!M33,IF('Revisor A'!L33="","não preenchido",IF(LOWER(TRIM('Revisor A'!L33))=LOWER(TRIM(INDEX(Gabarito!$E:$E,MATCH($A33,Gabarito!$A:$A,0)))),"confere","diverge")))</f>
        <v/>
      </c>
      <c r="G33">
        <f>IF('Revisor A'!O33&lt;&gt;"",'Revisor A'!O33,IF('Revisor A'!N33="","não preenchido",IF(LOWER(TRIM('Revisor A'!N33))=LOWER(TRIM(INDEX(Gabarito!$F:$F,MATCH($A33,Gabarito!$A:$A,0)))),"confere","diverge")))</f>
        <v/>
      </c>
      <c r="H33">
        <f>IF('Revisor A'!Q33&lt;&gt;"",'Revisor A'!Q33,IF('Revisor A'!P33="","não preenchido",IF(LOWER(TRIM('Revisor A'!P33))=LOWER(TRIM(INDEX(Gabarito!$G:$G,MATCH($A33,Gabarito!$A:$A,0)))),"confere","diverge")))</f>
        <v/>
      </c>
      <c r="I33">
        <f>IF('Revisor A'!S33&lt;&gt;"",'Revisor A'!S33,IF('Revisor A'!R33="","não preenchido",IF(LOWER(TRIM('Revisor A'!R33))=LOWER(TRIM(INDEX(Gabarito!$H:$H,MATCH($A33,Gabarito!$A:$A,0)))),"confere","diverge")))</f>
        <v/>
      </c>
      <c r="J33">
        <f>IF('Revisor A'!U33&lt;&gt;"",'Revisor A'!U33,IF('Revisor A'!T33="","não preenchido",IF(LOWER(TRIM('Revisor A'!T33))=LOWER(TRIM(INDEX(Gabarito!$I:$I,MATCH($A33,Gabarito!$A:$A,0)))),"confere","diverge")))</f>
        <v/>
      </c>
      <c r="K33">
        <f>IF('Revisor A'!W33&lt;&gt;"",'Revisor A'!W33,IF('Revisor A'!V33="","não preenchido",IF(LOWER(TRIM('Revisor A'!V33))=LOWER(TRIM(INDEX(Gabarito!$J:$J,MATCH($A33,Gabarito!$A:$A,0)))),"confere","diverge")))</f>
        <v/>
      </c>
      <c r="L33">
        <f>IF('Revisor A'!AB33="","não preenchido",'Revisor A'!AB33)</f>
        <v/>
      </c>
      <c r="M33">
        <f>IF('Revisor A'!AC33="","não preenchido",'Revisor A'!AC33)</f>
        <v/>
      </c>
      <c r="N33">
        <f>COUNTIF(C33:K33,"diverge")</f>
        <v/>
      </c>
      <c r="O33">
        <f>IF(COUNTIF(C33:K33,"não preenchido")=9,"não preenchido",IF(N33&gt;0,"diverge","confere"))</f>
        <v/>
      </c>
    </row>
    <row r="34">
      <c r="A34">
        <f>'Revisor A'!A34</f>
        <v/>
      </c>
      <c r="B34">
        <f>IFERROR(INDEX(Gabarito!$M:$M,MATCH($A34,Gabarito!$A:$A,0)),"")</f>
        <v/>
      </c>
      <c r="C34">
        <f>IF('Revisor A'!G34&lt;&gt;"",'Revisor A'!G34,IF('Revisor A'!F34="","não preenchido",IF(ABS(N('Revisor A'!F34)-N(INDEX(Gabarito!$B:$B,MATCH($A34,Gabarito!$A:$A,0))))&lt;=1,"confere","diverge")))</f>
        <v/>
      </c>
      <c r="D34">
        <f>IF('Revisor A'!I34&lt;&gt;"",'Revisor A'!I34,IF('Revisor A'!H34="","não preenchido",IF(ABS(N('Revisor A'!H34)-N(INDEX(Gabarito!$C:$C,MATCH($A34,Gabarito!$A:$A,0))))&lt;=1,"confere","diverge")))</f>
        <v/>
      </c>
      <c r="E34">
        <f>IF('Revisor A'!K34&lt;&gt;"",'Revisor A'!K34,IF('Revisor A'!J34="","não preenchido",IF(LOWER(TRIM('Revisor A'!J34))=LOWER(TRIM(INDEX(Gabarito!$D:$D,MATCH($A34,Gabarito!$A:$A,0)))),"confere","diverge")))</f>
        <v/>
      </c>
      <c r="F34">
        <f>IF('Revisor A'!M34&lt;&gt;"",'Revisor A'!M34,IF('Revisor A'!L34="","não preenchido",IF(LOWER(TRIM('Revisor A'!L34))=LOWER(TRIM(INDEX(Gabarito!$E:$E,MATCH($A34,Gabarito!$A:$A,0)))),"confere","diverge")))</f>
        <v/>
      </c>
      <c r="G34">
        <f>IF('Revisor A'!O34&lt;&gt;"",'Revisor A'!O34,IF('Revisor A'!N34="","não preenchido",IF(LOWER(TRIM('Revisor A'!N34))=LOWER(TRIM(INDEX(Gabarito!$F:$F,MATCH($A34,Gabarito!$A:$A,0)))),"confere","diverge")))</f>
        <v/>
      </c>
      <c r="H34">
        <f>IF('Revisor A'!Q34&lt;&gt;"",'Revisor A'!Q34,IF('Revisor A'!P34="","não preenchido",IF(LOWER(TRIM('Revisor A'!P34))=LOWER(TRIM(INDEX(Gabarito!$G:$G,MATCH($A34,Gabarito!$A:$A,0)))),"confere","diverge")))</f>
        <v/>
      </c>
      <c r="I34">
        <f>IF('Revisor A'!S34&lt;&gt;"",'Revisor A'!S34,IF('Revisor A'!R34="","não preenchido",IF(LOWER(TRIM('Revisor A'!R34))=LOWER(TRIM(INDEX(Gabarito!$H:$H,MATCH($A34,Gabarito!$A:$A,0)))),"confere","diverge")))</f>
        <v/>
      </c>
      <c r="J34">
        <f>IF('Revisor A'!U34&lt;&gt;"",'Revisor A'!U34,IF('Revisor A'!T34="","não preenchido",IF(LOWER(TRIM('Revisor A'!T34))=LOWER(TRIM(INDEX(Gabarito!$I:$I,MATCH($A34,Gabarito!$A:$A,0)))),"confere","diverge")))</f>
        <v/>
      </c>
      <c r="K34">
        <f>IF('Revisor A'!W34&lt;&gt;"",'Revisor A'!W34,IF('Revisor A'!V34="","não preenchido",IF(LOWER(TRIM('Revisor A'!V34))=LOWER(TRIM(INDEX(Gabarito!$J:$J,MATCH($A34,Gabarito!$A:$A,0)))),"confere","diverge")))</f>
        <v/>
      </c>
      <c r="L34">
        <f>IF('Revisor A'!AB34="","não preenchido",'Revisor A'!AB34)</f>
        <v/>
      </c>
      <c r="M34">
        <f>IF('Revisor A'!AC34="","não preenchido",'Revisor A'!AC34)</f>
        <v/>
      </c>
      <c r="N34">
        <f>COUNTIF(C34:K34,"diverge")</f>
        <v/>
      </c>
      <c r="O34">
        <f>IF(COUNTIF(C34:K34,"não preenchido")=9,"não preenchido",IF(N34&gt;0,"diverge","confere"))</f>
        <v/>
      </c>
    </row>
    <row r="35">
      <c r="A35">
        <f>'Revisor A'!A35</f>
        <v/>
      </c>
      <c r="B35">
        <f>IFERROR(INDEX(Gabarito!$M:$M,MATCH($A35,Gabarito!$A:$A,0)),"")</f>
        <v/>
      </c>
      <c r="C35">
        <f>IF('Revisor A'!G35&lt;&gt;"",'Revisor A'!G35,IF('Revisor A'!F35="","não preenchido",IF(ABS(N('Revisor A'!F35)-N(INDEX(Gabarito!$B:$B,MATCH($A35,Gabarito!$A:$A,0))))&lt;=1,"confere","diverge")))</f>
        <v/>
      </c>
      <c r="D35">
        <f>IF('Revisor A'!I35&lt;&gt;"",'Revisor A'!I35,IF('Revisor A'!H35="","não preenchido",IF(ABS(N('Revisor A'!H35)-N(INDEX(Gabarito!$C:$C,MATCH($A35,Gabarito!$A:$A,0))))&lt;=1,"confere","diverge")))</f>
        <v/>
      </c>
      <c r="E35">
        <f>IF('Revisor A'!K35&lt;&gt;"",'Revisor A'!K35,IF('Revisor A'!J35="","não preenchido",IF(LOWER(TRIM('Revisor A'!J35))=LOWER(TRIM(INDEX(Gabarito!$D:$D,MATCH($A35,Gabarito!$A:$A,0)))),"confere","diverge")))</f>
        <v/>
      </c>
      <c r="F35">
        <f>IF('Revisor A'!M35&lt;&gt;"",'Revisor A'!M35,IF('Revisor A'!L35="","não preenchido",IF(LOWER(TRIM('Revisor A'!L35))=LOWER(TRIM(INDEX(Gabarito!$E:$E,MATCH($A35,Gabarito!$A:$A,0)))),"confere","diverge")))</f>
        <v/>
      </c>
      <c r="G35">
        <f>IF('Revisor A'!O35&lt;&gt;"",'Revisor A'!O35,IF('Revisor A'!N35="","não preenchido",IF(LOWER(TRIM('Revisor A'!N35))=LOWER(TRIM(INDEX(Gabarito!$F:$F,MATCH($A35,Gabarito!$A:$A,0)))),"confere","diverge")))</f>
        <v/>
      </c>
      <c r="H35">
        <f>IF('Revisor A'!Q35&lt;&gt;"",'Revisor A'!Q35,IF('Revisor A'!P35="","não preenchido",IF(LOWER(TRIM('Revisor A'!P35))=LOWER(TRIM(INDEX(Gabarito!$G:$G,MATCH($A35,Gabarito!$A:$A,0)))),"confere","diverge")))</f>
        <v/>
      </c>
      <c r="I35">
        <f>IF('Revisor A'!S35&lt;&gt;"",'Revisor A'!S35,IF('Revisor A'!R35="","não preenchido",IF(LOWER(TRIM('Revisor A'!R35))=LOWER(TRIM(INDEX(Gabarito!$H:$H,MATCH($A35,Gabarito!$A:$A,0)))),"confere","diverge")))</f>
        <v/>
      </c>
      <c r="J35">
        <f>IF('Revisor A'!U35&lt;&gt;"",'Revisor A'!U35,IF('Revisor A'!T35="","não preenchido",IF(LOWER(TRIM('Revisor A'!T35))=LOWER(TRIM(INDEX(Gabarito!$I:$I,MATCH($A35,Gabarito!$A:$A,0)))),"confere","diverge")))</f>
        <v/>
      </c>
      <c r="K35">
        <f>IF('Revisor A'!W35&lt;&gt;"",'Revisor A'!W35,IF('Revisor A'!V35="","não preenchido",IF(LOWER(TRIM('Revisor A'!V35))=LOWER(TRIM(INDEX(Gabarito!$J:$J,MATCH($A35,Gabarito!$A:$A,0)))),"confere","diverge")))</f>
        <v/>
      </c>
      <c r="L35">
        <f>IF('Revisor A'!AB35="","não preenchido",'Revisor A'!AB35)</f>
        <v/>
      </c>
      <c r="M35">
        <f>IF('Revisor A'!AC35="","não preenchido",'Revisor A'!AC35)</f>
        <v/>
      </c>
      <c r="N35">
        <f>COUNTIF(C35:K35,"diverge")</f>
        <v/>
      </c>
      <c r="O35">
        <f>IF(COUNTIF(C35:K35,"não preenchido")=9,"não preenchido",IF(N35&gt;0,"diverge","confere"))</f>
        <v/>
      </c>
    </row>
    <row r="36">
      <c r="A36">
        <f>'Revisor A'!A36</f>
        <v/>
      </c>
      <c r="B36">
        <f>IFERROR(INDEX(Gabarito!$M:$M,MATCH($A36,Gabarito!$A:$A,0)),"")</f>
        <v/>
      </c>
      <c r="C36">
        <f>IF('Revisor A'!G36&lt;&gt;"",'Revisor A'!G36,IF('Revisor A'!F36="","não preenchido",IF(ABS(N('Revisor A'!F36)-N(INDEX(Gabarito!$B:$B,MATCH($A36,Gabarito!$A:$A,0))))&lt;=1,"confere","diverge")))</f>
        <v/>
      </c>
      <c r="D36">
        <f>IF('Revisor A'!I36&lt;&gt;"",'Revisor A'!I36,IF('Revisor A'!H36="","não preenchido",IF(ABS(N('Revisor A'!H36)-N(INDEX(Gabarito!$C:$C,MATCH($A36,Gabarito!$A:$A,0))))&lt;=1,"confere","diverge")))</f>
        <v/>
      </c>
      <c r="E36">
        <f>IF('Revisor A'!K36&lt;&gt;"",'Revisor A'!K36,IF('Revisor A'!J36="","não preenchido",IF(LOWER(TRIM('Revisor A'!J36))=LOWER(TRIM(INDEX(Gabarito!$D:$D,MATCH($A36,Gabarito!$A:$A,0)))),"confere","diverge")))</f>
        <v/>
      </c>
      <c r="F36">
        <f>IF('Revisor A'!M36&lt;&gt;"",'Revisor A'!M36,IF('Revisor A'!L36="","não preenchido",IF(LOWER(TRIM('Revisor A'!L36))=LOWER(TRIM(INDEX(Gabarito!$E:$E,MATCH($A36,Gabarito!$A:$A,0)))),"confere","diverge")))</f>
        <v/>
      </c>
      <c r="G36">
        <f>IF('Revisor A'!O36&lt;&gt;"",'Revisor A'!O36,IF('Revisor A'!N36="","não preenchido",IF(LOWER(TRIM('Revisor A'!N36))=LOWER(TRIM(INDEX(Gabarito!$F:$F,MATCH($A36,Gabarito!$A:$A,0)))),"confere","diverge")))</f>
        <v/>
      </c>
      <c r="H36">
        <f>IF('Revisor A'!Q36&lt;&gt;"",'Revisor A'!Q36,IF('Revisor A'!P36="","não preenchido",IF(LOWER(TRIM('Revisor A'!P36))=LOWER(TRIM(INDEX(Gabarito!$G:$G,MATCH($A36,Gabarito!$A:$A,0)))),"confere","diverge")))</f>
        <v/>
      </c>
      <c r="I36">
        <f>IF('Revisor A'!S36&lt;&gt;"",'Revisor A'!S36,IF('Revisor A'!R36="","não preenchido",IF(LOWER(TRIM('Revisor A'!R36))=LOWER(TRIM(INDEX(Gabarito!$H:$H,MATCH($A36,Gabarito!$A:$A,0)))),"confere","diverge")))</f>
        <v/>
      </c>
      <c r="J36">
        <f>IF('Revisor A'!U36&lt;&gt;"",'Revisor A'!U36,IF('Revisor A'!T36="","não preenchido",IF(LOWER(TRIM('Revisor A'!T36))=LOWER(TRIM(INDEX(Gabarito!$I:$I,MATCH($A36,Gabarito!$A:$A,0)))),"confere","diverge")))</f>
        <v/>
      </c>
      <c r="K36">
        <f>IF('Revisor A'!W36&lt;&gt;"",'Revisor A'!W36,IF('Revisor A'!V36="","não preenchido",IF(LOWER(TRIM('Revisor A'!V36))=LOWER(TRIM(INDEX(Gabarito!$J:$J,MATCH($A36,Gabarito!$A:$A,0)))),"confere","diverge")))</f>
        <v/>
      </c>
      <c r="L36">
        <f>IF('Revisor A'!AB36="","não preenchido",'Revisor A'!AB36)</f>
        <v/>
      </c>
      <c r="M36">
        <f>IF('Revisor A'!AC36="","não preenchido",'Revisor A'!AC36)</f>
        <v/>
      </c>
      <c r="N36">
        <f>COUNTIF(C36:K36,"diverge")</f>
        <v/>
      </c>
      <c r="O36">
        <f>IF(COUNTIF(C36:K36,"não preenchido")=9,"não preenchido",IF(N36&gt;0,"diverge","confere"))</f>
        <v/>
      </c>
    </row>
    <row r="37">
      <c r="A37">
        <f>'Revisor A'!A37</f>
        <v/>
      </c>
      <c r="B37">
        <f>IFERROR(INDEX(Gabarito!$M:$M,MATCH($A37,Gabarito!$A:$A,0)),"")</f>
        <v/>
      </c>
      <c r="C37">
        <f>IF('Revisor A'!G37&lt;&gt;"",'Revisor A'!G37,IF('Revisor A'!F37="","não preenchido",IF(ABS(N('Revisor A'!F37)-N(INDEX(Gabarito!$B:$B,MATCH($A37,Gabarito!$A:$A,0))))&lt;=1,"confere","diverge")))</f>
        <v/>
      </c>
      <c r="D37">
        <f>IF('Revisor A'!I37&lt;&gt;"",'Revisor A'!I37,IF('Revisor A'!H37="","não preenchido",IF(ABS(N('Revisor A'!H37)-N(INDEX(Gabarito!$C:$C,MATCH($A37,Gabarito!$A:$A,0))))&lt;=1,"confere","diverge")))</f>
        <v/>
      </c>
      <c r="E37">
        <f>IF('Revisor A'!K37&lt;&gt;"",'Revisor A'!K37,IF('Revisor A'!J37="","não preenchido",IF(LOWER(TRIM('Revisor A'!J37))=LOWER(TRIM(INDEX(Gabarito!$D:$D,MATCH($A37,Gabarito!$A:$A,0)))),"confere","diverge")))</f>
        <v/>
      </c>
      <c r="F37">
        <f>IF('Revisor A'!M37&lt;&gt;"",'Revisor A'!M37,IF('Revisor A'!L37="","não preenchido",IF(LOWER(TRIM('Revisor A'!L37))=LOWER(TRIM(INDEX(Gabarito!$E:$E,MATCH($A37,Gabarito!$A:$A,0)))),"confere","diverge")))</f>
        <v/>
      </c>
      <c r="G37">
        <f>IF('Revisor A'!O37&lt;&gt;"",'Revisor A'!O37,IF('Revisor A'!N37="","não preenchido",IF(LOWER(TRIM('Revisor A'!N37))=LOWER(TRIM(INDEX(Gabarito!$F:$F,MATCH($A37,Gabarito!$A:$A,0)))),"confere","diverge")))</f>
        <v/>
      </c>
      <c r="H37">
        <f>IF('Revisor A'!Q37&lt;&gt;"",'Revisor A'!Q37,IF('Revisor A'!P37="","não preenchido",IF(LOWER(TRIM('Revisor A'!P37))=LOWER(TRIM(INDEX(Gabarito!$G:$G,MATCH($A37,Gabarito!$A:$A,0)))),"confere","diverge")))</f>
        <v/>
      </c>
      <c r="I37">
        <f>IF('Revisor A'!S37&lt;&gt;"",'Revisor A'!S37,IF('Revisor A'!R37="","não preenchido",IF(LOWER(TRIM('Revisor A'!R37))=LOWER(TRIM(INDEX(Gabarito!$H:$H,MATCH($A37,Gabarito!$A:$A,0)))),"confere","diverge")))</f>
        <v/>
      </c>
      <c r="J37">
        <f>IF('Revisor A'!U37&lt;&gt;"",'Revisor A'!U37,IF('Revisor A'!T37="","não preenchido",IF(LOWER(TRIM('Revisor A'!T37))=LOWER(TRIM(INDEX(Gabarito!$I:$I,MATCH($A37,Gabarito!$A:$A,0)))),"confere","diverge")))</f>
        <v/>
      </c>
      <c r="K37">
        <f>IF('Revisor A'!W37&lt;&gt;"",'Revisor A'!W37,IF('Revisor A'!V37="","não preenchido",IF(LOWER(TRIM('Revisor A'!V37))=LOWER(TRIM(INDEX(Gabarito!$J:$J,MATCH($A37,Gabarito!$A:$A,0)))),"confere","diverge")))</f>
        <v/>
      </c>
      <c r="L37">
        <f>IF('Revisor A'!AB37="","não preenchido",'Revisor A'!AB37)</f>
        <v/>
      </c>
      <c r="M37">
        <f>IF('Revisor A'!AC37="","não preenchido",'Revisor A'!AC37)</f>
        <v/>
      </c>
      <c r="N37">
        <f>COUNTIF(C37:K37,"diverge")</f>
        <v/>
      </c>
      <c r="O37">
        <f>IF(COUNTIF(C37:K37,"não preenchido")=9,"não preenchido",IF(N37&gt;0,"diverge","confere"))</f>
        <v/>
      </c>
    </row>
    <row r="38">
      <c r="A38">
        <f>'Revisor A'!A38</f>
        <v/>
      </c>
      <c r="B38">
        <f>IFERROR(INDEX(Gabarito!$M:$M,MATCH($A38,Gabarito!$A:$A,0)),"")</f>
        <v/>
      </c>
      <c r="C38">
        <f>IF('Revisor A'!G38&lt;&gt;"",'Revisor A'!G38,IF('Revisor A'!F38="","não preenchido",IF(ABS(N('Revisor A'!F38)-N(INDEX(Gabarito!$B:$B,MATCH($A38,Gabarito!$A:$A,0))))&lt;=1,"confere","diverge")))</f>
        <v/>
      </c>
      <c r="D38">
        <f>IF('Revisor A'!I38&lt;&gt;"",'Revisor A'!I38,IF('Revisor A'!H38="","não preenchido",IF(ABS(N('Revisor A'!H38)-N(INDEX(Gabarito!$C:$C,MATCH($A38,Gabarito!$A:$A,0))))&lt;=1,"confere","diverge")))</f>
        <v/>
      </c>
      <c r="E38">
        <f>IF('Revisor A'!K38&lt;&gt;"",'Revisor A'!K38,IF('Revisor A'!J38="","não preenchido",IF(LOWER(TRIM('Revisor A'!J38))=LOWER(TRIM(INDEX(Gabarito!$D:$D,MATCH($A38,Gabarito!$A:$A,0)))),"confere","diverge")))</f>
        <v/>
      </c>
      <c r="F38">
        <f>IF('Revisor A'!M38&lt;&gt;"",'Revisor A'!M38,IF('Revisor A'!L38="","não preenchido",IF(LOWER(TRIM('Revisor A'!L38))=LOWER(TRIM(INDEX(Gabarito!$E:$E,MATCH($A38,Gabarito!$A:$A,0)))),"confere","diverge")))</f>
        <v/>
      </c>
      <c r="G38">
        <f>IF('Revisor A'!O38&lt;&gt;"",'Revisor A'!O38,IF('Revisor A'!N38="","não preenchido",IF(LOWER(TRIM('Revisor A'!N38))=LOWER(TRIM(INDEX(Gabarito!$F:$F,MATCH($A38,Gabarito!$A:$A,0)))),"confere","diverge")))</f>
        <v/>
      </c>
      <c r="H38">
        <f>IF('Revisor A'!Q38&lt;&gt;"",'Revisor A'!Q38,IF('Revisor A'!P38="","não preenchido",IF(LOWER(TRIM('Revisor A'!P38))=LOWER(TRIM(INDEX(Gabarito!$G:$G,MATCH($A38,Gabarito!$A:$A,0)))),"confere","diverge")))</f>
        <v/>
      </c>
      <c r="I38">
        <f>IF('Revisor A'!S38&lt;&gt;"",'Revisor A'!S38,IF('Revisor A'!R38="","não preenchido",IF(LOWER(TRIM('Revisor A'!R38))=LOWER(TRIM(INDEX(Gabarito!$H:$H,MATCH($A38,Gabarito!$A:$A,0)))),"confere","diverge")))</f>
        <v/>
      </c>
      <c r="J38">
        <f>IF('Revisor A'!U38&lt;&gt;"",'Revisor A'!U38,IF('Revisor A'!T38="","não preenchido",IF(LOWER(TRIM('Revisor A'!T38))=LOWER(TRIM(INDEX(Gabarito!$I:$I,MATCH($A38,Gabarito!$A:$A,0)))),"confere","diverge")))</f>
        <v/>
      </c>
      <c r="K38">
        <f>IF('Revisor A'!W38&lt;&gt;"",'Revisor A'!W38,IF('Revisor A'!V38="","não preenchido",IF(LOWER(TRIM('Revisor A'!V38))=LOWER(TRIM(INDEX(Gabarito!$J:$J,MATCH($A38,Gabarito!$A:$A,0)))),"confere","diverge")))</f>
        <v/>
      </c>
      <c r="L38">
        <f>IF('Revisor A'!AB38="","não preenchido",'Revisor A'!AB38)</f>
        <v/>
      </c>
      <c r="M38">
        <f>IF('Revisor A'!AC38="","não preenchido",'Revisor A'!AC38)</f>
        <v/>
      </c>
      <c r="N38">
        <f>COUNTIF(C38:K38,"diverge")</f>
        <v/>
      </c>
      <c r="O38">
        <f>IF(COUNTIF(C38:K38,"não preenchido")=9,"não preenchido",IF(N38&gt;0,"diverge","confere"))</f>
        <v/>
      </c>
    </row>
    <row r="39">
      <c r="A39">
        <f>'Revisor A'!A39</f>
        <v/>
      </c>
      <c r="B39">
        <f>IFERROR(INDEX(Gabarito!$M:$M,MATCH($A39,Gabarito!$A:$A,0)),"")</f>
        <v/>
      </c>
      <c r="C39">
        <f>IF('Revisor A'!G39&lt;&gt;"",'Revisor A'!G39,IF('Revisor A'!F39="","não preenchido",IF(ABS(N('Revisor A'!F39)-N(INDEX(Gabarito!$B:$B,MATCH($A39,Gabarito!$A:$A,0))))&lt;=1,"confere","diverge")))</f>
        <v/>
      </c>
      <c r="D39">
        <f>IF('Revisor A'!I39&lt;&gt;"",'Revisor A'!I39,IF('Revisor A'!H39="","não preenchido",IF(ABS(N('Revisor A'!H39)-N(INDEX(Gabarito!$C:$C,MATCH($A39,Gabarito!$A:$A,0))))&lt;=1,"confere","diverge")))</f>
        <v/>
      </c>
      <c r="E39">
        <f>IF('Revisor A'!K39&lt;&gt;"",'Revisor A'!K39,IF('Revisor A'!J39="","não preenchido",IF(LOWER(TRIM('Revisor A'!J39))=LOWER(TRIM(INDEX(Gabarito!$D:$D,MATCH($A39,Gabarito!$A:$A,0)))),"confere","diverge")))</f>
        <v/>
      </c>
      <c r="F39">
        <f>IF('Revisor A'!M39&lt;&gt;"",'Revisor A'!M39,IF('Revisor A'!L39="","não preenchido",IF(LOWER(TRIM('Revisor A'!L39))=LOWER(TRIM(INDEX(Gabarito!$E:$E,MATCH($A39,Gabarito!$A:$A,0)))),"confere","diverge")))</f>
        <v/>
      </c>
      <c r="G39">
        <f>IF('Revisor A'!O39&lt;&gt;"",'Revisor A'!O39,IF('Revisor A'!N39="","não preenchido",IF(LOWER(TRIM('Revisor A'!N39))=LOWER(TRIM(INDEX(Gabarito!$F:$F,MATCH($A39,Gabarito!$A:$A,0)))),"confere","diverge")))</f>
        <v/>
      </c>
      <c r="H39">
        <f>IF('Revisor A'!Q39&lt;&gt;"",'Revisor A'!Q39,IF('Revisor A'!P39="","não preenchido",IF(LOWER(TRIM('Revisor A'!P39))=LOWER(TRIM(INDEX(Gabarito!$G:$G,MATCH($A39,Gabarito!$A:$A,0)))),"confere","diverge")))</f>
        <v/>
      </c>
      <c r="I39">
        <f>IF('Revisor A'!S39&lt;&gt;"",'Revisor A'!S39,IF('Revisor A'!R39="","não preenchido",IF(LOWER(TRIM('Revisor A'!R39))=LOWER(TRIM(INDEX(Gabarito!$H:$H,MATCH($A39,Gabarito!$A:$A,0)))),"confere","diverge")))</f>
        <v/>
      </c>
      <c r="J39">
        <f>IF('Revisor A'!U39&lt;&gt;"",'Revisor A'!U39,IF('Revisor A'!T39="","não preenchido",IF(LOWER(TRIM('Revisor A'!T39))=LOWER(TRIM(INDEX(Gabarito!$I:$I,MATCH($A39,Gabarito!$A:$A,0)))),"confere","diverge")))</f>
        <v/>
      </c>
      <c r="K39">
        <f>IF('Revisor A'!W39&lt;&gt;"",'Revisor A'!W39,IF('Revisor A'!V39="","não preenchido",IF(LOWER(TRIM('Revisor A'!V39))=LOWER(TRIM(INDEX(Gabarito!$J:$J,MATCH($A39,Gabarito!$A:$A,0)))),"confere","diverge")))</f>
        <v/>
      </c>
      <c r="L39">
        <f>IF('Revisor A'!AB39="","não preenchido",'Revisor A'!AB39)</f>
        <v/>
      </c>
      <c r="M39">
        <f>IF('Revisor A'!AC39="","não preenchido",'Revisor A'!AC39)</f>
        <v/>
      </c>
      <c r="N39">
        <f>COUNTIF(C39:K39,"diverge")</f>
        <v/>
      </c>
      <c r="O39">
        <f>IF(COUNTIF(C39:K39,"não preenchido")=9,"não preenchido",IF(N39&gt;0,"diverge","confere"))</f>
        <v/>
      </c>
    </row>
    <row r="40">
      <c r="A40">
        <f>'Revisor A'!A40</f>
        <v/>
      </c>
      <c r="B40">
        <f>IFERROR(INDEX(Gabarito!$M:$M,MATCH($A40,Gabarito!$A:$A,0)),"")</f>
        <v/>
      </c>
      <c r="C40">
        <f>IF('Revisor A'!G40&lt;&gt;"",'Revisor A'!G40,IF('Revisor A'!F40="","não preenchido",IF(ABS(N('Revisor A'!F40)-N(INDEX(Gabarito!$B:$B,MATCH($A40,Gabarito!$A:$A,0))))&lt;=1,"confere","diverge")))</f>
        <v/>
      </c>
      <c r="D40">
        <f>IF('Revisor A'!I40&lt;&gt;"",'Revisor A'!I40,IF('Revisor A'!H40="","não preenchido",IF(ABS(N('Revisor A'!H40)-N(INDEX(Gabarito!$C:$C,MATCH($A40,Gabarito!$A:$A,0))))&lt;=1,"confere","diverge")))</f>
        <v/>
      </c>
      <c r="E40">
        <f>IF('Revisor A'!K40&lt;&gt;"",'Revisor A'!K40,IF('Revisor A'!J40="","não preenchido",IF(LOWER(TRIM('Revisor A'!J40))=LOWER(TRIM(INDEX(Gabarito!$D:$D,MATCH($A40,Gabarito!$A:$A,0)))),"confere","diverge")))</f>
        <v/>
      </c>
      <c r="F40">
        <f>IF('Revisor A'!M40&lt;&gt;"",'Revisor A'!M40,IF('Revisor A'!L40="","não preenchido",IF(LOWER(TRIM('Revisor A'!L40))=LOWER(TRIM(INDEX(Gabarito!$E:$E,MATCH($A40,Gabarito!$A:$A,0)))),"confere","diverge")))</f>
        <v/>
      </c>
      <c r="G40">
        <f>IF('Revisor A'!O40&lt;&gt;"",'Revisor A'!O40,IF('Revisor A'!N40="","não preenchido",IF(LOWER(TRIM('Revisor A'!N40))=LOWER(TRIM(INDEX(Gabarito!$F:$F,MATCH($A40,Gabarito!$A:$A,0)))),"confere","diverge")))</f>
        <v/>
      </c>
      <c r="H40">
        <f>IF('Revisor A'!Q40&lt;&gt;"",'Revisor A'!Q40,IF('Revisor A'!P40="","não preenchido",IF(LOWER(TRIM('Revisor A'!P40))=LOWER(TRIM(INDEX(Gabarito!$G:$G,MATCH($A40,Gabarito!$A:$A,0)))),"confere","diverge")))</f>
        <v/>
      </c>
      <c r="I40">
        <f>IF('Revisor A'!S40&lt;&gt;"",'Revisor A'!S40,IF('Revisor A'!R40="","não preenchido",IF(LOWER(TRIM('Revisor A'!R40))=LOWER(TRIM(INDEX(Gabarito!$H:$H,MATCH($A40,Gabarito!$A:$A,0)))),"confere","diverge")))</f>
        <v/>
      </c>
      <c r="J40">
        <f>IF('Revisor A'!U40&lt;&gt;"",'Revisor A'!U40,IF('Revisor A'!T40="","não preenchido",IF(LOWER(TRIM('Revisor A'!T40))=LOWER(TRIM(INDEX(Gabarito!$I:$I,MATCH($A40,Gabarito!$A:$A,0)))),"confere","diverge")))</f>
        <v/>
      </c>
      <c r="K40">
        <f>IF('Revisor A'!W40&lt;&gt;"",'Revisor A'!W40,IF('Revisor A'!V40="","não preenchido",IF(LOWER(TRIM('Revisor A'!V40))=LOWER(TRIM(INDEX(Gabarito!$J:$J,MATCH($A40,Gabarito!$A:$A,0)))),"confere","diverge")))</f>
        <v/>
      </c>
      <c r="L40">
        <f>IF('Revisor A'!AB40="","não preenchido",'Revisor A'!AB40)</f>
        <v/>
      </c>
      <c r="M40">
        <f>IF('Revisor A'!AC40="","não preenchido",'Revisor A'!AC40)</f>
        <v/>
      </c>
      <c r="N40">
        <f>COUNTIF(C40:K40,"diverge")</f>
        <v/>
      </c>
      <c r="O40">
        <f>IF(COUNTIF(C40:K40,"não preenchido")=9,"não preenchido",IF(N40&gt;0,"diverge","confere"))</f>
        <v/>
      </c>
    </row>
    <row r="41">
      <c r="A41">
        <f>'Revisor A'!A41</f>
        <v/>
      </c>
      <c r="B41">
        <f>IFERROR(INDEX(Gabarito!$M:$M,MATCH($A41,Gabarito!$A:$A,0)),"")</f>
        <v/>
      </c>
      <c r="C41">
        <f>IF('Revisor A'!G41&lt;&gt;"",'Revisor A'!G41,IF('Revisor A'!F41="","não preenchido",IF(ABS(N('Revisor A'!F41)-N(INDEX(Gabarito!$B:$B,MATCH($A41,Gabarito!$A:$A,0))))&lt;=1,"confere","diverge")))</f>
        <v/>
      </c>
      <c r="D41">
        <f>IF('Revisor A'!I41&lt;&gt;"",'Revisor A'!I41,IF('Revisor A'!H41="","não preenchido",IF(ABS(N('Revisor A'!H41)-N(INDEX(Gabarito!$C:$C,MATCH($A41,Gabarito!$A:$A,0))))&lt;=1,"confere","diverge")))</f>
        <v/>
      </c>
      <c r="E41">
        <f>IF('Revisor A'!K41&lt;&gt;"",'Revisor A'!K41,IF('Revisor A'!J41="","não preenchido",IF(LOWER(TRIM('Revisor A'!J41))=LOWER(TRIM(INDEX(Gabarito!$D:$D,MATCH($A41,Gabarito!$A:$A,0)))),"confere","diverge")))</f>
        <v/>
      </c>
      <c r="F41">
        <f>IF('Revisor A'!M41&lt;&gt;"",'Revisor A'!M41,IF('Revisor A'!L41="","não preenchido",IF(LOWER(TRIM('Revisor A'!L41))=LOWER(TRIM(INDEX(Gabarito!$E:$E,MATCH($A41,Gabarito!$A:$A,0)))),"confere","diverge")))</f>
        <v/>
      </c>
      <c r="G41">
        <f>IF('Revisor A'!O41&lt;&gt;"",'Revisor A'!O41,IF('Revisor A'!N41="","não preenchido",IF(LOWER(TRIM('Revisor A'!N41))=LOWER(TRIM(INDEX(Gabarito!$F:$F,MATCH($A41,Gabarito!$A:$A,0)))),"confere","diverge")))</f>
        <v/>
      </c>
      <c r="H41">
        <f>IF('Revisor A'!Q41&lt;&gt;"",'Revisor A'!Q41,IF('Revisor A'!P41="","não preenchido",IF(LOWER(TRIM('Revisor A'!P41))=LOWER(TRIM(INDEX(Gabarito!$G:$G,MATCH($A41,Gabarito!$A:$A,0)))),"confere","diverge")))</f>
        <v/>
      </c>
      <c r="I41">
        <f>IF('Revisor A'!S41&lt;&gt;"",'Revisor A'!S41,IF('Revisor A'!R41="","não preenchido",IF(LOWER(TRIM('Revisor A'!R41))=LOWER(TRIM(INDEX(Gabarito!$H:$H,MATCH($A41,Gabarito!$A:$A,0)))),"confere","diverge")))</f>
        <v/>
      </c>
      <c r="J41">
        <f>IF('Revisor A'!U41&lt;&gt;"",'Revisor A'!U41,IF('Revisor A'!T41="","não preenchido",IF(LOWER(TRIM('Revisor A'!T41))=LOWER(TRIM(INDEX(Gabarito!$I:$I,MATCH($A41,Gabarito!$A:$A,0)))),"confere","diverge")))</f>
        <v/>
      </c>
      <c r="K41">
        <f>IF('Revisor A'!W41&lt;&gt;"",'Revisor A'!W41,IF('Revisor A'!V41="","não preenchido",IF(LOWER(TRIM('Revisor A'!V41))=LOWER(TRIM(INDEX(Gabarito!$J:$J,MATCH($A41,Gabarito!$A:$A,0)))),"confere","diverge")))</f>
        <v/>
      </c>
      <c r="L41">
        <f>IF('Revisor A'!AB41="","não preenchido",'Revisor A'!AB41)</f>
        <v/>
      </c>
      <c r="M41">
        <f>IF('Revisor A'!AC41="","não preenchido",'Revisor A'!AC41)</f>
        <v/>
      </c>
      <c r="N41">
        <f>COUNTIF(C41:K41,"diverge")</f>
        <v/>
      </c>
      <c r="O41">
        <f>IF(COUNTIF(C41:K41,"não preenchido")=9,"não preenchido",IF(N41&gt;0,"diverge","confere"))</f>
        <v/>
      </c>
    </row>
    <row r="42">
      <c r="A42">
        <f>'Revisor A'!A42</f>
        <v/>
      </c>
      <c r="B42">
        <f>IFERROR(INDEX(Gabarito!$M:$M,MATCH($A42,Gabarito!$A:$A,0)),"")</f>
        <v/>
      </c>
      <c r="C42">
        <f>IF('Revisor A'!G42&lt;&gt;"",'Revisor A'!G42,IF('Revisor A'!F42="","não preenchido",IF(ABS(N('Revisor A'!F42)-N(INDEX(Gabarito!$B:$B,MATCH($A42,Gabarito!$A:$A,0))))&lt;=1,"confere","diverge")))</f>
        <v/>
      </c>
      <c r="D42">
        <f>IF('Revisor A'!I42&lt;&gt;"",'Revisor A'!I42,IF('Revisor A'!H42="","não preenchido",IF(ABS(N('Revisor A'!H42)-N(INDEX(Gabarito!$C:$C,MATCH($A42,Gabarito!$A:$A,0))))&lt;=1,"confere","diverge")))</f>
        <v/>
      </c>
      <c r="E42">
        <f>IF('Revisor A'!K42&lt;&gt;"",'Revisor A'!K42,IF('Revisor A'!J42="","não preenchido",IF(LOWER(TRIM('Revisor A'!J42))=LOWER(TRIM(INDEX(Gabarito!$D:$D,MATCH($A42,Gabarito!$A:$A,0)))),"confere","diverge")))</f>
        <v/>
      </c>
      <c r="F42">
        <f>IF('Revisor A'!M42&lt;&gt;"",'Revisor A'!M42,IF('Revisor A'!L42="","não preenchido",IF(LOWER(TRIM('Revisor A'!L42))=LOWER(TRIM(INDEX(Gabarito!$E:$E,MATCH($A42,Gabarito!$A:$A,0)))),"confere","diverge")))</f>
        <v/>
      </c>
      <c r="G42">
        <f>IF('Revisor A'!O42&lt;&gt;"",'Revisor A'!O42,IF('Revisor A'!N42="","não preenchido",IF(LOWER(TRIM('Revisor A'!N42))=LOWER(TRIM(INDEX(Gabarito!$F:$F,MATCH($A42,Gabarito!$A:$A,0)))),"confere","diverge")))</f>
        <v/>
      </c>
      <c r="H42">
        <f>IF('Revisor A'!Q42&lt;&gt;"",'Revisor A'!Q42,IF('Revisor A'!P42="","não preenchido",IF(LOWER(TRIM('Revisor A'!P42))=LOWER(TRIM(INDEX(Gabarito!$G:$G,MATCH($A42,Gabarito!$A:$A,0)))),"confere","diverge")))</f>
        <v/>
      </c>
      <c r="I42">
        <f>IF('Revisor A'!S42&lt;&gt;"",'Revisor A'!S42,IF('Revisor A'!R42="","não preenchido",IF(LOWER(TRIM('Revisor A'!R42))=LOWER(TRIM(INDEX(Gabarito!$H:$H,MATCH($A42,Gabarito!$A:$A,0)))),"confere","diverge")))</f>
        <v/>
      </c>
      <c r="J42">
        <f>IF('Revisor A'!U42&lt;&gt;"",'Revisor A'!U42,IF('Revisor A'!T42="","não preenchido",IF(LOWER(TRIM('Revisor A'!T42))=LOWER(TRIM(INDEX(Gabarito!$I:$I,MATCH($A42,Gabarito!$A:$A,0)))),"confere","diverge")))</f>
        <v/>
      </c>
      <c r="K42">
        <f>IF('Revisor A'!W42&lt;&gt;"",'Revisor A'!W42,IF('Revisor A'!V42="","não preenchido",IF(LOWER(TRIM('Revisor A'!V42))=LOWER(TRIM(INDEX(Gabarito!$J:$J,MATCH($A42,Gabarito!$A:$A,0)))),"confere","diverge")))</f>
        <v/>
      </c>
      <c r="L42">
        <f>IF('Revisor A'!AB42="","não preenchido",'Revisor A'!AB42)</f>
        <v/>
      </c>
      <c r="M42">
        <f>IF('Revisor A'!AC42="","não preenchido",'Revisor A'!AC42)</f>
        <v/>
      </c>
      <c r="N42">
        <f>COUNTIF(C42:K42,"diverge")</f>
        <v/>
      </c>
      <c r="O42">
        <f>IF(COUNTIF(C42:K42,"não preenchido")=9,"não preenchido",IF(N42&gt;0,"diverge","confere"))</f>
        <v/>
      </c>
    </row>
    <row r="43">
      <c r="A43">
        <f>'Revisor A'!A43</f>
        <v/>
      </c>
      <c r="B43">
        <f>IFERROR(INDEX(Gabarito!$M:$M,MATCH($A43,Gabarito!$A:$A,0)),"")</f>
        <v/>
      </c>
      <c r="C43">
        <f>IF('Revisor A'!G43&lt;&gt;"",'Revisor A'!G43,IF('Revisor A'!F43="","não preenchido",IF(ABS(N('Revisor A'!F43)-N(INDEX(Gabarito!$B:$B,MATCH($A43,Gabarito!$A:$A,0))))&lt;=1,"confere","diverge")))</f>
        <v/>
      </c>
      <c r="D43">
        <f>IF('Revisor A'!I43&lt;&gt;"",'Revisor A'!I43,IF('Revisor A'!H43="","não preenchido",IF(ABS(N('Revisor A'!H43)-N(INDEX(Gabarito!$C:$C,MATCH($A43,Gabarito!$A:$A,0))))&lt;=1,"confere","diverge")))</f>
        <v/>
      </c>
      <c r="E43">
        <f>IF('Revisor A'!K43&lt;&gt;"",'Revisor A'!K43,IF('Revisor A'!J43="","não preenchido",IF(LOWER(TRIM('Revisor A'!J43))=LOWER(TRIM(INDEX(Gabarito!$D:$D,MATCH($A43,Gabarito!$A:$A,0)))),"confere","diverge")))</f>
        <v/>
      </c>
      <c r="F43">
        <f>IF('Revisor A'!M43&lt;&gt;"",'Revisor A'!M43,IF('Revisor A'!L43="","não preenchido",IF(LOWER(TRIM('Revisor A'!L43))=LOWER(TRIM(INDEX(Gabarito!$E:$E,MATCH($A43,Gabarito!$A:$A,0)))),"confere","diverge")))</f>
        <v/>
      </c>
      <c r="G43">
        <f>IF('Revisor A'!O43&lt;&gt;"",'Revisor A'!O43,IF('Revisor A'!N43="","não preenchido",IF(LOWER(TRIM('Revisor A'!N43))=LOWER(TRIM(INDEX(Gabarito!$F:$F,MATCH($A43,Gabarito!$A:$A,0)))),"confere","diverge")))</f>
        <v/>
      </c>
      <c r="H43">
        <f>IF('Revisor A'!Q43&lt;&gt;"",'Revisor A'!Q43,IF('Revisor A'!P43="","não preenchido",IF(LOWER(TRIM('Revisor A'!P43))=LOWER(TRIM(INDEX(Gabarito!$G:$G,MATCH($A43,Gabarito!$A:$A,0)))),"confere","diverge")))</f>
        <v/>
      </c>
      <c r="I43">
        <f>IF('Revisor A'!S43&lt;&gt;"",'Revisor A'!S43,IF('Revisor A'!R43="","não preenchido",IF(LOWER(TRIM('Revisor A'!R43))=LOWER(TRIM(INDEX(Gabarito!$H:$H,MATCH($A43,Gabarito!$A:$A,0)))),"confere","diverge")))</f>
        <v/>
      </c>
      <c r="J43">
        <f>IF('Revisor A'!U43&lt;&gt;"",'Revisor A'!U43,IF('Revisor A'!T43="","não preenchido",IF(LOWER(TRIM('Revisor A'!T43))=LOWER(TRIM(INDEX(Gabarito!$I:$I,MATCH($A43,Gabarito!$A:$A,0)))),"confere","diverge")))</f>
        <v/>
      </c>
      <c r="K43">
        <f>IF('Revisor A'!W43&lt;&gt;"",'Revisor A'!W43,IF('Revisor A'!V43="","não preenchido",IF(LOWER(TRIM('Revisor A'!V43))=LOWER(TRIM(INDEX(Gabarito!$J:$J,MATCH($A43,Gabarito!$A:$A,0)))),"confere","diverge")))</f>
        <v/>
      </c>
      <c r="L43">
        <f>IF('Revisor A'!AB43="","não preenchido",'Revisor A'!AB43)</f>
        <v/>
      </c>
      <c r="M43">
        <f>IF('Revisor A'!AC43="","não preenchido",'Revisor A'!AC43)</f>
        <v/>
      </c>
      <c r="N43">
        <f>COUNTIF(C43:K43,"diverge")</f>
        <v/>
      </c>
      <c r="O43">
        <f>IF(COUNTIF(C43:K43,"não preenchido")=9,"não preenchido",IF(N43&gt;0,"diverge","confere"))</f>
        <v/>
      </c>
    </row>
    <row r="44">
      <c r="A44">
        <f>'Revisor A'!A44</f>
        <v/>
      </c>
      <c r="B44">
        <f>IFERROR(INDEX(Gabarito!$M:$M,MATCH($A44,Gabarito!$A:$A,0)),"")</f>
        <v/>
      </c>
      <c r="C44">
        <f>IF('Revisor A'!G44&lt;&gt;"",'Revisor A'!G44,IF('Revisor A'!F44="","não preenchido",IF(ABS(N('Revisor A'!F44)-N(INDEX(Gabarito!$B:$B,MATCH($A44,Gabarito!$A:$A,0))))&lt;=1,"confere","diverge")))</f>
        <v/>
      </c>
      <c r="D44">
        <f>IF('Revisor A'!I44&lt;&gt;"",'Revisor A'!I44,IF('Revisor A'!H44="","não preenchido",IF(ABS(N('Revisor A'!H44)-N(INDEX(Gabarito!$C:$C,MATCH($A44,Gabarito!$A:$A,0))))&lt;=1,"confere","diverge")))</f>
        <v/>
      </c>
      <c r="E44">
        <f>IF('Revisor A'!K44&lt;&gt;"",'Revisor A'!K44,IF('Revisor A'!J44="","não preenchido",IF(LOWER(TRIM('Revisor A'!J44))=LOWER(TRIM(INDEX(Gabarito!$D:$D,MATCH($A44,Gabarito!$A:$A,0)))),"confere","diverge")))</f>
        <v/>
      </c>
      <c r="F44">
        <f>IF('Revisor A'!M44&lt;&gt;"",'Revisor A'!M44,IF('Revisor A'!L44="","não preenchido",IF(LOWER(TRIM('Revisor A'!L44))=LOWER(TRIM(INDEX(Gabarito!$E:$E,MATCH($A44,Gabarito!$A:$A,0)))),"confere","diverge")))</f>
        <v/>
      </c>
      <c r="G44">
        <f>IF('Revisor A'!O44&lt;&gt;"",'Revisor A'!O44,IF('Revisor A'!N44="","não preenchido",IF(LOWER(TRIM('Revisor A'!N44))=LOWER(TRIM(INDEX(Gabarito!$F:$F,MATCH($A44,Gabarito!$A:$A,0)))),"confere","diverge")))</f>
        <v/>
      </c>
      <c r="H44">
        <f>IF('Revisor A'!Q44&lt;&gt;"",'Revisor A'!Q44,IF('Revisor A'!P44="","não preenchido",IF(LOWER(TRIM('Revisor A'!P44))=LOWER(TRIM(INDEX(Gabarito!$G:$G,MATCH($A44,Gabarito!$A:$A,0)))),"confere","diverge")))</f>
        <v/>
      </c>
      <c r="I44">
        <f>IF('Revisor A'!S44&lt;&gt;"",'Revisor A'!S44,IF('Revisor A'!R44="","não preenchido",IF(LOWER(TRIM('Revisor A'!R44))=LOWER(TRIM(INDEX(Gabarito!$H:$H,MATCH($A44,Gabarito!$A:$A,0)))),"confere","diverge")))</f>
        <v/>
      </c>
      <c r="J44">
        <f>IF('Revisor A'!U44&lt;&gt;"",'Revisor A'!U44,IF('Revisor A'!T44="","não preenchido",IF(LOWER(TRIM('Revisor A'!T44))=LOWER(TRIM(INDEX(Gabarito!$I:$I,MATCH($A44,Gabarito!$A:$A,0)))),"confere","diverge")))</f>
        <v/>
      </c>
      <c r="K44">
        <f>IF('Revisor A'!W44&lt;&gt;"",'Revisor A'!W44,IF('Revisor A'!V44="","não preenchido",IF(LOWER(TRIM('Revisor A'!V44))=LOWER(TRIM(INDEX(Gabarito!$J:$J,MATCH($A44,Gabarito!$A:$A,0)))),"confere","diverge")))</f>
        <v/>
      </c>
      <c r="L44">
        <f>IF('Revisor A'!AB44="","não preenchido",'Revisor A'!AB44)</f>
        <v/>
      </c>
      <c r="M44">
        <f>IF('Revisor A'!AC44="","não preenchido",'Revisor A'!AC44)</f>
        <v/>
      </c>
      <c r="N44">
        <f>COUNTIF(C44:K44,"diverge")</f>
        <v/>
      </c>
      <c r="O44">
        <f>IF(COUNTIF(C44:K44,"não preenchido")=9,"não preenchido",IF(N44&gt;0,"diverge","confere"))</f>
        <v/>
      </c>
    </row>
    <row r="45">
      <c r="A45">
        <f>'Revisor A'!A45</f>
        <v/>
      </c>
      <c r="B45">
        <f>IFERROR(INDEX(Gabarito!$M:$M,MATCH($A45,Gabarito!$A:$A,0)),"")</f>
        <v/>
      </c>
      <c r="C45">
        <f>IF('Revisor A'!G45&lt;&gt;"",'Revisor A'!G45,IF('Revisor A'!F45="","não preenchido",IF(ABS(N('Revisor A'!F45)-N(INDEX(Gabarito!$B:$B,MATCH($A45,Gabarito!$A:$A,0))))&lt;=1,"confere","diverge")))</f>
        <v/>
      </c>
      <c r="D45">
        <f>IF('Revisor A'!I45&lt;&gt;"",'Revisor A'!I45,IF('Revisor A'!H45="","não preenchido",IF(ABS(N('Revisor A'!H45)-N(INDEX(Gabarito!$C:$C,MATCH($A45,Gabarito!$A:$A,0))))&lt;=1,"confere","diverge")))</f>
        <v/>
      </c>
      <c r="E45">
        <f>IF('Revisor A'!K45&lt;&gt;"",'Revisor A'!K45,IF('Revisor A'!J45="","não preenchido",IF(LOWER(TRIM('Revisor A'!J45))=LOWER(TRIM(INDEX(Gabarito!$D:$D,MATCH($A45,Gabarito!$A:$A,0)))),"confere","diverge")))</f>
        <v/>
      </c>
      <c r="F45">
        <f>IF('Revisor A'!M45&lt;&gt;"",'Revisor A'!M45,IF('Revisor A'!L45="","não preenchido",IF(LOWER(TRIM('Revisor A'!L45))=LOWER(TRIM(INDEX(Gabarito!$E:$E,MATCH($A45,Gabarito!$A:$A,0)))),"confere","diverge")))</f>
        <v/>
      </c>
      <c r="G45">
        <f>IF('Revisor A'!O45&lt;&gt;"",'Revisor A'!O45,IF('Revisor A'!N45="","não preenchido",IF(LOWER(TRIM('Revisor A'!N45))=LOWER(TRIM(INDEX(Gabarito!$F:$F,MATCH($A45,Gabarito!$A:$A,0)))),"confere","diverge")))</f>
        <v/>
      </c>
      <c r="H45">
        <f>IF('Revisor A'!Q45&lt;&gt;"",'Revisor A'!Q45,IF('Revisor A'!P45="","não preenchido",IF(LOWER(TRIM('Revisor A'!P45))=LOWER(TRIM(INDEX(Gabarito!$G:$G,MATCH($A45,Gabarito!$A:$A,0)))),"confere","diverge")))</f>
        <v/>
      </c>
      <c r="I45">
        <f>IF('Revisor A'!S45&lt;&gt;"",'Revisor A'!S45,IF('Revisor A'!R45="","não preenchido",IF(LOWER(TRIM('Revisor A'!R45))=LOWER(TRIM(INDEX(Gabarito!$H:$H,MATCH($A45,Gabarito!$A:$A,0)))),"confere","diverge")))</f>
        <v/>
      </c>
      <c r="J45">
        <f>IF('Revisor A'!U45&lt;&gt;"",'Revisor A'!U45,IF('Revisor A'!T45="","não preenchido",IF(LOWER(TRIM('Revisor A'!T45))=LOWER(TRIM(INDEX(Gabarito!$I:$I,MATCH($A45,Gabarito!$A:$A,0)))),"confere","diverge")))</f>
        <v/>
      </c>
      <c r="K45">
        <f>IF('Revisor A'!W45&lt;&gt;"",'Revisor A'!W45,IF('Revisor A'!V45="","não preenchido",IF(LOWER(TRIM('Revisor A'!V45))=LOWER(TRIM(INDEX(Gabarito!$J:$J,MATCH($A45,Gabarito!$A:$A,0)))),"confere","diverge")))</f>
        <v/>
      </c>
      <c r="L45">
        <f>IF('Revisor A'!AB45="","não preenchido",'Revisor A'!AB45)</f>
        <v/>
      </c>
      <c r="M45">
        <f>IF('Revisor A'!AC45="","não preenchido",'Revisor A'!AC45)</f>
        <v/>
      </c>
      <c r="N45">
        <f>COUNTIF(C45:K45,"diverge")</f>
        <v/>
      </c>
      <c r="O45">
        <f>IF(COUNTIF(C45:K45,"não preenchido")=9,"não preenchido",IF(N45&gt;0,"diverge","confere"))</f>
        <v/>
      </c>
    </row>
    <row r="46">
      <c r="A46">
        <f>'Revisor A'!A46</f>
        <v/>
      </c>
      <c r="B46">
        <f>IFERROR(INDEX(Gabarito!$M:$M,MATCH($A46,Gabarito!$A:$A,0)),"")</f>
        <v/>
      </c>
      <c r="C46">
        <f>IF('Revisor A'!G46&lt;&gt;"",'Revisor A'!G46,IF('Revisor A'!F46="","não preenchido",IF(ABS(N('Revisor A'!F46)-N(INDEX(Gabarito!$B:$B,MATCH($A46,Gabarito!$A:$A,0))))&lt;=1,"confere","diverge")))</f>
        <v/>
      </c>
      <c r="D46">
        <f>IF('Revisor A'!I46&lt;&gt;"",'Revisor A'!I46,IF('Revisor A'!H46="","não preenchido",IF(ABS(N('Revisor A'!H46)-N(INDEX(Gabarito!$C:$C,MATCH($A46,Gabarito!$A:$A,0))))&lt;=1,"confere","diverge")))</f>
        <v/>
      </c>
      <c r="E46">
        <f>IF('Revisor A'!K46&lt;&gt;"",'Revisor A'!K46,IF('Revisor A'!J46="","não preenchido",IF(LOWER(TRIM('Revisor A'!J46))=LOWER(TRIM(INDEX(Gabarito!$D:$D,MATCH($A46,Gabarito!$A:$A,0)))),"confere","diverge")))</f>
        <v/>
      </c>
      <c r="F46">
        <f>IF('Revisor A'!M46&lt;&gt;"",'Revisor A'!M46,IF('Revisor A'!L46="","não preenchido",IF(LOWER(TRIM('Revisor A'!L46))=LOWER(TRIM(INDEX(Gabarito!$E:$E,MATCH($A46,Gabarito!$A:$A,0)))),"confere","diverge")))</f>
        <v/>
      </c>
      <c r="G46">
        <f>IF('Revisor A'!O46&lt;&gt;"",'Revisor A'!O46,IF('Revisor A'!N46="","não preenchido",IF(LOWER(TRIM('Revisor A'!N46))=LOWER(TRIM(INDEX(Gabarito!$F:$F,MATCH($A46,Gabarito!$A:$A,0)))),"confere","diverge")))</f>
        <v/>
      </c>
      <c r="H46">
        <f>IF('Revisor A'!Q46&lt;&gt;"",'Revisor A'!Q46,IF('Revisor A'!P46="","não preenchido",IF(LOWER(TRIM('Revisor A'!P46))=LOWER(TRIM(INDEX(Gabarito!$G:$G,MATCH($A46,Gabarito!$A:$A,0)))),"confere","diverge")))</f>
        <v/>
      </c>
      <c r="I46">
        <f>IF('Revisor A'!S46&lt;&gt;"",'Revisor A'!S46,IF('Revisor A'!R46="","não preenchido",IF(LOWER(TRIM('Revisor A'!R46))=LOWER(TRIM(INDEX(Gabarito!$H:$H,MATCH($A46,Gabarito!$A:$A,0)))),"confere","diverge")))</f>
        <v/>
      </c>
      <c r="J46">
        <f>IF('Revisor A'!U46&lt;&gt;"",'Revisor A'!U46,IF('Revisor A'!T46="","não preenchido",IF(LOWER(TRIM('Revisor A'!T46))=LOWER(TRIM(INDEX(Gabarito!$I:$I,MATCH($A46,Gabarito!$A:$A,0)))),"confere","diverge")))</f>
        <v/>
      </c>
      <c r="K46">
        <f>IF('Revisor A'!W46&lt;&gt;"",'Revisor A'!W46,IF('Revisor A'!V46="","não preenchido",IF(LOWER(TRIM('Revisor A'!V46))=LOWER(TRIM(INDEX(Gabarito!$J:$J,MATCH($A46,Gabarito!$A:$A,0)))),"confere","diverge")))</f>
        <v/>
      </c>
      <c r="L46">
        <f>IF('Revisor A'!AB46="","não preenchido",'Revisor A'!AB46)</f>
        <v/>
      </c>
      <c r="M46">
        <f>IF('Revisor A'!AC46="","não preenchido",'Revisor A'!AC46)</f>
        <v/>
      </c>
      <c r="N46">
        <f>COUNTIF(C46:K46,"diverge")</f>
        <v/>
      </c>
      <c r="O46">
        <f>IF(COUNTIF(C46:K46,"não preenchido")=9,"não preenchido",IF(N46&gt;0,"diverge","confere"))</f>
        <v/>
      </c>
    </row>
    <row r="47">
      <c r="A47">
        <f>'Revisor A'!A47</f>
        <v/>
      </c>
      <c r="B47">
        <f>IFERROR(INDEX(Gabarito!$M:$M,MATCH($A47,Gabarito!$A:$A,0)),"")</f>
        <v/>
      </c>
      <c r="C47">
        <f>IF('Revisor A'!G47&lt;&gt;"",'Revisor A'!G47,IF('Revisor A'!F47="","não preenchido",IF(ABS(N('Revisor A'!F47)-N(INDEX(Gabarito!$B:$B,MATCH($A47,Gabarito!$A:$A,0))))&lt;=1,"confere","diverge")))</f>
        <v/>
      </c>
      <c r="D47">
        <f>IF('Revisor A'!I47&lt;&gt;"",'Revisor A'!I47,IF('Revisor A'!H47="","não preenchido",IF(ABS(N('Revisor A'!H47)-N(INDEX(Gabarito!$C:$C,MATCH($A47,Gabarito!$A:$A,0))))&lt;=1,"confere","diverge")))</f>
        <v/>
      </c>
      <c r="E47">
        <f>IF('Revisor A'!K47&lt;&gt;"",'Revisor A'!K47,IF('Revisor A'!J47="","não preenchido",IF(LOWER(TRIM('Revisor A'!J47))=LOWER(TRIM(INDEX(Gabarito!$D:$D,MATCH($A47,Gabarito!$A:$A,0)))),"confere","diverge")))</f>
        <v/>
      </c>
      <c r="F47">
        <f>IF('Revisor A'!M47&lt;&gt;"",'Revisor A'!M47,IF('Revisor A'!L47="","não preenchido",IF(LOWER(TRIM('Revisor A'!L47))=LOWER(TRIM(INDEX(Gabarito!$E:$E,MATCH($A47,Gabarito!$A:$A,0)))),"confere","diverge")))</f>
        <v/>
      </c>
      <c r="G47">
        <f>IF('Revisor A'!O47&lt;&gt;"",'Revisor A'!O47,IF('Revisor A'!N47="","não preenchido",IF(LOWER(TRIM('Revisor A'!N47))=LOWER(TRIM(INDEX(Gabarito!$F:$F,MATCH($A47,Gabarito!$A:$A,0)))),"confere","diverge")))</f>
        <v/>
      </c>
      <c r="H47">
        <f>IF('Revisor A'!Q47&lt;&gt;"",'Revisor A'!Q47,IF('Revisor A'!P47="","não preenchido",IF(LOWER(TRIM('Revisor A'!P47))=LOWER(TRIM(INDEX(Gabarito!$G:$G,MATCH($A47,Gabarito!$A:$A,0)))),"confere","diverge")))</f>
        <v/>
      </c>
      <c r="I47">
        <f>IF('Revisor A'!S47&lt;&gt;"",'Revisor A'!S47,IF('Revisor A'!R47="","não preenchido",IF(LOWER(TRIM('Revisor A'!R47))=LOWER(TRIM(INDEX(Gabarito!$H:$H,MATCH($A47,Gabarito!$A:$A,0)))),"confere","diverge")))</f>
        <v/>
      </c>
      <c r="J47">
        <f>IF('Revisor A'!U47&lt;&gt;"",'Revisor A'!U47,IF('Revisor A'!T47="","não preenchido",IF(LOWER(TRIM('Revisor A'!T47))=LOWER(TRIM(INDEX(Gabarito!$I:$I,MATCH($A47,Gabarito!$A:$A,0)))),"confere","diverge")))</f>
        <v/>
      </c>
      <c r="K47">
        <f>IF('Revisor A'!W47&lt;&gt;"",'Revisor A'!W47,IF('Revisor A'!V47="","não preenchido",IF(LOWER(TRIM('Revisor A'!V47))=LOWER(TRIM(INDEX(Gabarito!$J:$J,MATCH($A47,Gabarito!$A:$A,0)))),"confere","diverge")))</f>
        <v/>
      </c>
      <c r="L47">
        <f>IF('Revisor A'!AB47="","não preenchido",'Revisor A'!AB47)</f>
        <v/>
      </c>
      <c r="M47">
        <f>IF('Revisor A'!AC47="","não preenchido",'Revisor A'!AC47)</f>
        <v/>
      </c>
      <c r="N47">
        <f>COUNTIF(C47:K47,"diverge")</f>
        <v/>
      </c>
      <c r="O47">
        <f>IF(COUNTIF(C47:K47,"não preenchido")=9,"não preenchido",IF(N47&gt;0,"diverge","confere"))</f>
        <v/>
      </c>
    </row>
    <row r="48">
      <c r="A48">
        <f>'Revisor A'!A48</f>
        <v/>
      </c>
      <c r="B48">
        <f>IFERROR(INDEX(Gabarito!$M:$M,MATCH($A48,Gabarito!$A:$A,0)),"")</f>
        <v/>
      </c>
      <c r="C48">
        <f>IF('Revisor A'!G48&lt;&gt;"",'Revisor A'!G48,IF('Revisor A'!F48="","não preenchido",IF(ABS(N('Revisor A'!F48)-N(INDEX(Gabarito!$B:$B,MATCH($A48,Gabarito!$A:$A,0))))&lt;=1,"confere","diverge")))</f>
        <v/>
      </c>
      <c r="D48">
        <f>IF('Revisor A'!I48&lt;&gt;"",'Revisor A'!I48,IF('Revisor A'!H48="","não preenchido",IF(ABS(N('Revisor A'!H48)-N(INDEX(Gabarito!$C:$C,MATCH($A48,Gabarito!$A:$A,0))))&lt;=1,"confere","diverge")))</f>
        <v/>
      </c>
      <c r="E48">
        <f>IF('Revisor A'!K48&lt;&gt;"",'Revisor A'!K48,IF('Revisor A'!J48="","não preenchido",IF(LOWER(TRIM('Revisor A'!J48))=LOWER(TRIM(INDEX(Gabarito!$D:$D,MATCH($A48,Gabarito!$A:$A,0)))),"confere","diverge")))</f>
        <v/>
      </c>
      <c r="F48">
        <f>IF('Revisor A'!M48&lt;&gt;"",'Revisor A'!M48,IF('Revisor A'!L48="","não preenchido",IF(LOWER(TRIM('Revisor A'!L48))=LOWER(TRIM(INDEX(Gabarito!$E:$E,MATCH($A48,Gabarito!$A:$A,0)))),"confere","diverge")))</f>
        <v/>
      </c>
      <c r="G48">
        <f>IF('Revisor A'!O48&lt;&gt;"",'Revisor A'!O48,IF('Revisor A'!N48="","não preenchido",IF(LOWER(TRIM('Revisor A'!N48))=LOWER(TRIM(INDEX(Gabarito!$F:$F,MATCH($A48,Gabarito!$A:$A,0)))),"confere","diverge")))</f>
        <v/>
      </c>
      <c r="H48">
        <f>IF('Revisor A'!Q48&lt;&gt;"",'Revisor A'!Q48,IF('Revisor A'!P48="","não preenchido",IF(LOWER(TRIM('Revisor A'!P48))=LOWER(TRIM(INDEX(Gabarito!$G:$G,MATCH($A48,Gabarito!$A:$A,0)))),"confere","diverge")))</f>
        <v/>
      </c>
      <c r="I48">
        <f>IF('Revisor A'!S48&lt;&gt;"",'Revisor A'!S48,IF('Revisor A'!R48="","não preenchido",IF(LOWER(TRIM('Revisor A'!R48))=LOWER(TRIM(INDEX(Gabarito!$H:$H,MATCH($A48,Gabarito!$A:$A,0)))),"confere","diverge")))</f>
        <v/>
      </c>
      <c r="J48">
        <f>IF('Revisor A'!U48&lt;&gt;"",'Revisor A'!U48,IF('Revisor A'!T48="","não preenchido",IF(LOWER(TRIM('Revisor A'!T48))=LOWER(TRIM(INDEX(Gabarito!$I:$I,MATCH($A48,Gabarito!$A:$A,0)))),"confere","diverge")))</f>
        <v/>
      </c>
      <c r="K48">
        <f>IF('Revisor A'!W48&lt;&gt;"",'Revisor A'!W48,IF('Revisor A'!V48="","não preenchido",IF(LOWER(TRIM('Revisor A'!V48))=LOWER(TRIM(INDEX(Gabarito!$J:$J,MATCH($A48,Gabarito!$A:$A,0)))),"confere","diverge")))</f>
        <v/>
      </c>
      <c r="L48">
        <f>IF('Revisor A'!AB48="","não preenchido",'Revisor A'!AB48)</f>
        <v/>
      </c>
      <c r="M48">
        <f>IF('Revisor A'!AC48="","não preenchido",'Revisor A'!AC48)</f>
        <v/>
      </c>
      <c r="N48">
        <f>COUNTIF(C48:K48,"diverge")</f>
        <v/>
      </c>
      <c r="O48">
        <f>IF(COUNTIF(C48:K48,"não preenchido")=9,"não preenchido",IF(N48&gt;0,"diverge","confere"))</f>
        <v/>
      </c>
    </row>
    <row r="49">
      <c r="A49">
        <f>'Revisor A'!A49</f>
        <v/>
      </c>
      <c r="B49">
        <f>IFERROR(INDEX(Gabarito!$M:$M,MATCH($A49,Gabarito!$A:$A,0)),"")</f>
        <v/>
      </c>
      <c r="C49">
        <f>IF('Revisor A'!G49&lt;&gt;"",'Revisor A'!G49,IF('Revisor A'!F49="","não preenchido",IF(ABS(N('Revisor A'!F49)-N(INDEX(Gabarito!$B:$B,MATCH($A49,Gabarito!$A:$A,0))))&lt;=1,"confere","diverge")))</f>
        <v/>
      </c>
      <c r="D49">
        <f>IF('Revisor A'!I49&lt;&gt;"",'Revisor A'!I49,IF('Revisor A'!H49="","não preenchido",IF(ABS(N('Revisor A'!H49)-N(INDEX(Gabarito!$C:$C,MATCH($A49,Gabarito!$A:$A,0))))&lt;=1,"confere","diverge")))</f>
        <v/>
      </c>
      <c r="E49">
        <f>IF('Revisor A'!K49&lt;&gt;"",'Revisor A'!K49,IF('Revisor A'!J49="","não preenchido",IF(LOWER(TRIM('Revisor A'!J49))=LOWER(TRIM(INDEX(Gabarito!$D:$D,MATCH($A49,Gabarito!$A:$A,0)))),"confere","diverge")))</f>
        <v/>
      </c>
      <c r="F49">
        <f>IF('Revisor A'!M49&lt;&gt;"",'Revisor A'!M49,IF('Revisor A'!L49="","não preenchido",IF(LOWER(TRIM('Revisor A'!L49))=LOWER(TRIM(INDEX(Gabarito!$E:$E,MATCH($A49,Gabarito!$A:$A,0)))),"confere","diverge")))</f>
        <v/>
      </c>
      <c r="G49">
        <f>IF('Revisor A'!O49&lt;&gt;"",'Revisor A'!O49,IF('Revisor A'!N49="","não preenchido",IF(LOWER(TRIM('Revisor A'!N49))=LOWER(TRIM(INDEX(Gabarito!$F:$F,MATCH($A49,Gabarito!$A:$A,0)))),"confere","diverge")))</f>
        <v/>
      </c>
      <c r="H49">
        <f>IF('Revisor A'!Q49&lt;&gt;"",'Revisor A'!Q49,IF('Revisor A'!P49="","não preenchido",IF(LOWER(TRIM('Revisor A'!P49))=LOWER(TRIM(INDEX(Gabarito!$G:$G,MATCH($A49,Gabarito!$A:$A,0)))),"confere","diverge")))</f>
        <v/>
      </c>
      <c r="I49">
        <f>IF('Revisor A'!S49&lt;&gt;"",'Revisor A'!S49,IF('Revisor A'!R49="","não preenchido",IF(LOWER(TRIM('Revisor A'!R49))=LOWER(TRIM(INDEX(Gabarito!$H:$H,MATCH($A49,Gabarito!$A:$A,0)))),"confere","diverge")))</f>
        <v/>
      </c>
      <c r="J49">
        <f>IF('Revisor A'!U49&lt;&gt;"",'Revisor A'!U49,IF('Revisor A'!T49="","não preenchido",IF(LOWER(TRIM('Revisor A'!T49))=LOWER(TRIM(INDEX(Gabarito!$I:$I,MATCH($A49,Gabarito!$A:$A,0)))),"confere","diverge")))</f>
        <v/>
      </c>
      <c r="K49">
        <f>IF('Revisor A'!W49&lt;&gt;"",'Revisor A'!W49,IF('Revisor A'!V49="","não preenchido",IF(LOWER(TRIM('Revisor A'!V49))=LOWER(TRIM(INDEX(Gabarito!$J:$J,MATCH($A49,Gabarito!$A:$A,0)))),"confere","diverge")))</f>
        <v/>
      </c>
      <c r="L49">
        <f>IF('Revisor A'!AB49="","não preenchido",'Revisor A'!AB49)</f>
        <v/>
      </c>
      <c r="M49">
        <f>IF('Revisor A'!AC49="","não preenchido",'Revisor A'!AC49)</f>
        <v/>
      </c>
      <c r="N49">
        <f>COUNTIF(C49:K49,"diverge")</f>
        <v/>
      </c>
      <c r="O49">
        <f>IF(COUNTIF(C49:K49,"não preenchido")=9,"não preenchido",IF(N49&gt;0,"diverge","confere"))</f>
        <v/>
      </c>
    </row>
    <row r="50">
      <c r="A50">
        <f>'Revisor A'!A50</f>
        <v/>
      </c>
      <c r="B50">
        <f>IFERROR(INDEX(Gabarito!$M:$M,MATCH($A50,Gabarito!$A:$A,0)),"")</f>
        <v/>
      </c>
      <c r="C50">
        <f>IF('Revisor A'!G50&lt;&gt;"",'Revisor A'!G50,IF('Revisor A'!F50="","não preenchido",IF(ABS(N('Revisor A'!F50)-N(INDEX(Gabarito!$B:$B,MATCH($A50,Gabarito!$A:$A,0))))&lt;=1,"confere","diverge")))</f>
        <v/>
      </c>
      <c r="D50">
        <f>IF('Revisor A'!I50&lt;&gt;"",'Revisor A'!I50,IF('Revisor A'!H50="","não preenchido",IF(ABS(N('Revisor A'!H50)-N(INDEX(Gabarito!$C:$C,MATCH($A50,Gabarito!$A:$A,0))))&lt;=1,"confere","diverge")))</f>
        <v/>
      </c>
      <c r="E50">
        <f>IF('Revisor A'!K50&lt;&gt;"",'Revisor A'!K50,IF('Revisor A'!J50="","não preenchido",IF(LOWER(TRIM('Revisor A'!J50))=LOWER(TRIM(INDEX(Gabarito!$D:$D,MATCH($A50,Gabarito!$A:$A,0)))),"confere","diverge")))</f>
        <v/>
      </c>
      <c r="F50">
        <f>IF('Revisor A'!M50&lt;&gt;"",'Revisor A'!M50,IF('Revisor A'!L50="","não preenchido",IF(LOWER(TRIM('Revisor A'!L50))=LOWER(TRIM(INDEX(Gabarito!$E:$E,MATCH($A50,Gabarito!$A:$A,0)))),"confere","diverge")))</f>
        <v/>
      </c>
      <c r="G50">
        <f>IF('Revisor A'!O50&lt;&gt;"",'Revisor A'!O50,IF('Revisor A'!N50="","não preenchido",IF(LOWER(TRIM('Revisor A'!N50))=LOWER(TRIM(INDEX(Gabarito!$F:$F,MATCH($A50,Gabarito!$A:$A,0)))),"confere","diverge")))</f>
        <v/>
      </c>
      <c r="H50">
        <f>IF('Revisor A'!Q50&lt;&gt;"",'Revisor A'!Q50,IF('Revisor A'!P50="","não preenchido",IF(LOWER(TRIM('Revisor A'!P50))=LOWER(TRIM(INDEX(Gabarito!$G:$G,MATCH($A50,Gabarito!$A:$A,0)))),"confere","diverge")))</f>
        <v/>
      </c>
      <c r="I50">
        <f>IF('Revisor A'!S50&lt;&gt;"",'Revisor A'!S50,IF('Revisor A'!R50="","não preenchido",IF(LOWER(TRIM('Revisor A'!R50))=LOWER(TRIM(INDEX(Gabarito!$H:$H,MATCH($A50,Gabarito!$A:$A,0)))),"confere","diverge")))</f>
        <v/>
      </c>
      <c r="J50">
        <f>IF('Revisor A'!U50&lt;&gt;"",'Revisor A'!U50,IF('Revisor A'!T50="","não preenchido",IF(LOWER(TRIM('Revisor A'!T50))=LOWER(TRIM(INDEX(Gabarito!$I:$I,MATCH($A50,Gabarito!$A:$A,0)))),"confere","diverge")))</f>
        <v/>
      </c>
      <c r="K50">
        <f>IF('Revisor A'!W50&lt;&gt;"",'Revisor A'!W50,IF('Revisor A'!V50="","não preenchido",IF(LOWER(TRIM('Revisor A'!V50))=LOWER(TRIM(INDEX(Gabarito!$J:$J,MATCH($A50,Gabarito!$A:$A,0)))),"confere","diverge")))</f>
        <v/>
      </c>
      <c r="L50">
        <f>IF('Revisor A'!AB50="","não preenchido",'Revisor A'!AB50)</f>
        <v/>
      </c>
      <c r="M50">
        <f>IF('Revisor A'!AC50="","não preenchido",'Revisor A'!AC50)</f>
        <v/>
      </c>
      <c r="N50">
        <f>COUNTIF(C50:K50,"diverge")</f>
        <v/>
      </c>
      <c r="O50">
        <f>IF(COUNTIF(C50:K50,"não preenchido")=9,"não preenchido",IF(N50&gt;0,"diverge","confere"))</f>
        <v/>
      </c>
    </row>
    <row r="51">
      <c r="A51">
        <f>'Revisor A'!A51</f>
        <v/>
      </c>
      <c r="B51">
        <f>IFERROR(INDEX(Gabarito!$M:$M,MATCH($A51,Gabarito!$A:$A,0)),"")</f>
        <v/>
      </c>
      <c r="C51">
        <f>IF('Revisor A'!G51&lt;&gt;"",'Revisor A'!G51,IF('Revisor A'!F51="","não preenchido",IF(ABS(N('Revisor A'!F51)-N(INDEX(Gabarito!$B:$B,MATCH($A51,Gabarito!$A:$A,0))))&lt;=1,"confere","diverge")))</f>
        <v/>
      </c>
      <c r="D51">
        <f>IF('Revisor A'!I51&lt;&gt;"",'Revisor A'!I51,IF('Revisor A'!H51="","não preenchido",IF(ABS(N('Revisor A'!H51)-N(INDEX(Gabarito!$C:$C,MATCH($A51,Gabarito!$A:$A,0))))&lt;=1,"confere","diverge")))</f>
        <v/>
      </c>
      <c r="E51">
        <f>IF('Revisor A'!K51&lt;&gt;"",'Revisor A'!K51,IF('Revisor A'!J51="","não preenchido",IF(LOWER(TRIM('Revisor A'!J51))=LOWER(TRIM(INDEX(Gabarito!$D:$D,MATCH($A51,Gabarito!$A:$A,0)))),"confere","diverge")))</f>
        <v/>
      </c>
      <c r="F51">
        <f>IF('Revisor A'!M51&lt;&gt;"",'Revisor A'!M51,IF('Revisor A'!L51="","não preenchido",IF(LOWER(TRIM('Revisor A'!L51))=LOWER(TRIM(INDEX(Gabarito!$E:$E,MATCH($A51,Gabarito!$A:$A,0)))),"confere","diverge")))</f>
        <v/>
      </c>
      <c r="G51">
        <f>IF('Revisor A'!O51&lt;&gt;"",'Revisor A'!O51,IF('Revisor A'!N51="","não preenchido",IF(LOWER(TRIM('Revisor A'!N51))=LOWER(TRIM(INDEX(Gabarito!$F:$F,MATCH($A51,Gabarito!$A:$A,0)))),"confere","diverge")))</f>
        <v/>
      </c>
      <c r="H51">
        <f>IF('Revisor A'!Q51&lt;&gt;"",'Revisor A'!Q51,IF('Revisor A'!P51="","não preenchido",IF(LOWER(TRIM('Revisor A'!P51))=LOWER(TRIM(INDEX(Gabarito!$G:$G,MATCH($A51,Gabarito!$A:$A,0)))),"confere","diverge")))</f>
        <v/>
      </c>
      <c r="I51">
        <f>IF('Revisor A'!S51&lt;&gt;"",'Revisor A'!S51,IF('Revisor A'!R51="","não preenchido",IF(LOWER(TRIM('Revisor A'!R51))=LOWER(TRIM(INDEX(Gabarito!$H:$H,MATCH($A51,Gabarito!$A:$A,0)))),"confere","diverge")))</f>
        <v/>
      </c>
      <c r="J51">
        <f>IF('Revisor A'!U51&lt;&gt;"",'Revisor A'!U51,IF('Revisor A'!T51="","não preenchido",IF(LOWER(TRIM('Revisor A'!T51))=LOWER(TRIM(INDEX(Gabarito!$I:$I,MATCH($A51,Gabarito!$A:$A,0)))),"confere","diverge")))</f>
        <v/>
      </c>
      <c r="K51">
        <f>IF('Revisor A'!W51&lt;&gt;"",'Revisor A'!W51,IF('Revisor A'!V51="","não preenchido",IF(LOWER(TRIM('Revisor A'!V51))=LOWER(TRIM(INDEX(Gabarito!$J:$J,MATCH($A51,Gabarito!$A:$A,0)))),"confere","diverge")))</f>
        <v/>
      </c>
      <c r="L51">
        <f>IF('Revisor A'!AB51="","não preenchido",'Revisor A'!AB51)</f>
        <v/>
      </c>
      <c r="M51">
        <f>IF('Revisor A'!AC51="","não preenchido",'Revisor A'!AC51)</f>
        <v/>
      </c>
      <c r="N51">
        <f>COUNTIF(C51:K51,"diverge")</f>
        <v/>
      </c>
      <c r="O51">
        <f>IF(COUNTIF(C51:K51,"não preenchido")=9,"não preenchido",IF(N51&gt;0,"diverge","confere"))</f>
        <v/>
      </c>
    </row>
    <row r="52">
      <c r="A52">
        <f>'Revisor A'!A52</f>
        <v/>
      </c>
      <c r="B52">
        <f>IFERROR(INDEX(Gabarito!$M:$M,MATCH($A52,Gabarito!$A:$A,0)),"")</f>
        <v/>
      </c>
      <c r="C52">
        <f>IF('Revisor A'!G52&lt;&gt;"",'Revisor A'!G52,IF('Revisor A'!F52="","não preenchido",IF(ABS(N('Revisor A'!F52)-N(INDEX(Gabarito!$B:$B,MATCH($A52,Gabarito!$A:$A,0))))&lt;=1,"confere","diverge")))</f>
        <v/>
      </c>
      <c r="D52">
        <f>IF('Revisor A'!I52&lt;&gt;"",'Revisor A'!I52,IF('Revisor A'!H52="","não preenchido",IF(ABS(N('Revisor A'!H52)-N(INDEX(Gabarito!$C:$C,MATCH($A52,Gabarito!$A:$A,0))))&lt;=1,"confere","diverge")))</f>
        <v/>
      </c>
      <c r="E52">
        <f>IF('Revisor A'!K52&lt;&gt;"",'Revisor A'!K52,IF('Revisor A'!J52="","não preenchido",IF(LOWER(TRIM('Revisor A'!J52))=LOWER(TRIM(INDEX(Gabarito!$D:$D,MATCH($A52,Gabarito!$A:$A,0)))),"confere","diverge")))</f>
        <v/>
      </c>
      <c r="F52">
        <f>IF('Revisor A'!M52&lt;&gt;"",'Revisor A'!M52,IF('Revisor A'!L52="","não preenchido",IF(LOWER(TRIM('Revisor A'!L52))=LOWER(TRIM(INDEX(Gabarito!$E:$E,MATCH($A52,Gabarito!$A:$A,0)))),"confere","diverge")))</f>
        <v/>
      </c>
      <c r="G52">
        <f>IF('Revisor A'!O52&lt;&gt;"",'Revisor A'!O52,IF('Revisor A'!N52="","não preenchido",IF(LOWER(TRIM('Revisor A'!N52))=LOWER(TRIM(INDEX(Gabarito!$F:$F,MATCH($A52,Gabarito!$A:$A,0)))),"confere","diverge")))</f>
        <v/>
      </c>
      <c r="H52">
        <f>IF('Revisor A'!Q52&lt;&gt;"",'Revisor A'!Q52,IF('Revisor A'!P52="","não preenchido",IF(LOWER(TRIM('Revisor A'!P52))=LOWER(TRIM(INDEX(Gabarito!$G:$G,MATCH($A52,Gabarito!$A:$A,0)))),"confere","diverge")))</f>
        <v/>
      </c>
      <c r="I52">
        <f>IF('Revisor A'!S52&lt;&gt;"",'Revisor A'!S52,IF('Revisor A'!R52="","não preenchido",IF(LOWER(TRIM('Revisor A'!R52))=LOWER(TRIM(INDEX(Gabarito!$H:$H,MATCH($A52,Gabarito!$A:$A,0)))),"confere","diverge")))</f>
        <v/>
      </c>
      <c r="J52">
        <f>IF('Revisor A'!U52&lt;&gt;"",'Revisor A'!U52,IF('Revisor A'!T52="","não preenchido",IF(LOWER(TRIM('Revisor A'!T52))=LOWER(TRIM(INDEX(Gabarito!$I:$I,MATCH($A52,Gabarito!$A:$A,0)))),"confere","diverge")))</f>
        <v/>
      </c>
      <c r="K52">
        <f>IF('Revisor A'!W52&lt;&gt;"",'Revisor A'!W52,IF('Revisor A'!V52="","não preenchido",IF(LOWER(TRIM('Revisor A'!V52))=LOWER(TRIM(INDEX(Gabarito!$J:$J,MATCH($A52,Gabarito!$A:$A,0)))),"confere","diverge")))</f>
        <v/>
      </c>
      <c r="L52">
        <f>IF('Revisor A'!AB52="","não preenchido",'Revisor A'!AB52)</f>
        <v/>
      </c>
      <c r="M52">
        <f>IF('Revisor A'!AC52="","não preenchido",'Revisor A'!AC52)</f>
        <v/>
      </c>
      <c r="N52">
        <f>COUNTIF(C52:K52,"diverge")</f>
        <v/>
      </c>
      <c r="O52">
        <f>IF(COUNTIF(C52:K52,"não preenchido")=9,"não preenchido",IF(N52&gt;0,"diverge","confere"))</f>
        <v/>
      </c>
    </row>
    <row r="53">
      <c r="A53">
        <f>'Revisor A'!A53</f>
        <v/>
      </c>
      <c r="B53">
        <f>IFERROR(INDEX(Gabarito!$M:$M,MATCH($A53,Gabarito!$A:$A,0)),"")</f>
        <v/>
      </c>
      <c r="C53">
        <f>IF('Revisor A'!G53&lt;&gt;"",'Revisor A'!G53,IF('Revisor A'!F53="","não preenchido",IF(ABS(N('Revisor A'!F53)-N(INDEX(Gabarito!$B:$B,MATCH($A53,Gabarito!$A:$A,0))))&lt;=1,"confere","diverge")))</f>
        <v/>
      </c>
      <c r="D53">
        <f>IF('Revisor A'!I53&lt;&gt;"",'Revisor A'!I53,IF('Revisor A'!H53="","não preenchido",IF(ABS(N('Revisor A'!H53)-N(INDEX(Gabarito!$C:$C,MATCH($A53,Gabarito!$A:$A,0))))&lt;=1,"confere","diverge")))</f>
        <v/>
      </c>
      <c r="E53">
        <f>IF('Revisor A'!K53&lt;&gt;"",'Revisor A'!K53,IF('Revisor A'!J53="","não preenchido",IF(LOWER(TRIM('Revisor A'!J53))=LOWER(TRIM(INDEX(Gabarito!$D:$D,MATCH($A53,Gabarito!$A:$A,0)))),"confere","diverge")))</f>
        <v/>
      </c>
      <c r="F53">
        <f>IF('Revisor A'!M53&lt;&gt;"",'Revisor A'!M53,IF('Revisor A'!L53="","não preenchido",IF(LOWER(TRIM('Revisor A'!L53))=LOWER(TRIM(INDEX(Gabarito!$E:$E,MATCH($A53,Gabarito!$A:$A,0)))),"confere","diverge")))</f>
        <v/>
      </c>
      <c r="G53">
        <f>IF('Revisor A'!O53&lt;&gt;"",'Revisor A'!O53,IF('Revisor A'!N53="","não preenchido",IF(LOWER(TRIM('Revisor A'!N53))=LOWER(TRIM(INDEX(Gabarito!$F:$F,MATCH($A53,Gabarito!$A:$A,0)))),"confere","diverge")))</f>
        <v/>
      </c>
      <c r="H53">
        <f>IF('Revisor A'!Q53&lt;&gt;"",'Revisor A'!Q53,IF('Revisor A'!P53="","não preenchido",IF(LOWER(TRIM('Revisor A'!P53))=LOWER(TRIM(INDEX(Gabarito!$G:$G,MATCH($A53,Gabarito!$A:$A,0)))),"confere","diverge")))</f>
        <v/>
      </c>
      <c r="I53">
        <f>IF('Revisor A'!S53&lt;&gt;"",'Revisor A'!S53,IF('Revisor A'!R53="","não preenchido",IF(LOWER(TRIM('Revisor A'!R53))=LOWER(TRIM(INDEX(Gabarito!$H:$H,MATCH($A53,Gabarito!$A:$A,0)))),"confere","diverge")))</f>
        <v/>
      </c>
      <c r="J53">
        <f>IF('Revisor A'!U53&lt;&gt;"",'Revisor A'!U53,IF('Revisor A'!T53="","não preenchido",IF(LOWER(TRIM('Revisor A'!T53))=LOWER(TRIM(INDEX(Gabarito!$I:$I,MATCH($A53,Gabarito!$A:$A,0)))),"confere","diverge")))</f>
        <v/>
      </c>
      <c r="K53">
        <f>IF('Revisor A'!W53&lt;&gt;"",'Revisor A'!W53,IF('Revisor A'!V53="","não preenchido",IF(LOWER(TRIM('Revisor A'!V53))=LOWER(TRIM(INDEX(Gabarito!$J:$J,MATCH($A53,Gabarito!$A:$A,0)))),"confere","diverge")))</f>
        <v/>
      </c>
      <c r="L53">
        <f>IF('Revisor A'!AB53="","não preenchido",'Revisor A'!AB53)</f>
        <v/>
      </c>
      <c r="M53">
        <f>IF('Revisor A'!AC53="","não preenchido",'Revisor A'!AC53)</f>
        <v/>
      </c>
      <c r="N53">
        <f>COUNTIF(C53:K53,"diverge")</f>
        <v/>
      </c>
      <c r="O53">
        <f>IF(COUNTIF(C53:K53,"não preenchido")=9,"não preenchido",IF(N53&gt;0,"diverge","confere"))</f>
        <v/>
      </c>
    </row>
    <row r="54">
      <c r="A54">
        <f>'Revisor A'!A54</f>
        <v/>
      </c>
      <c r="B54">
        <f>IFERROR(INDEX(Gabarito!$M:$M,MATCH($A54,Gabarito!$A:$A,0)),"")</f>
        <v/>
      </c>
      <c r="C54">
        <f>IF('Revisor A'!G54&lt;&gt;"",'Revisor A'!G54,IF('Revisor A'!F54="","não preenchido",IF(ABS(N('Revisor A'!F54)-N(INDEX(Gabarito!$B:$B,MATCH($A54,Gabarito!$A:$A,0))))&lt;=1,"confere","diverge")))</f>
        <v/>
      </c>
      <c r="D54">
        <f>IF('Revisor A'!I54&lt;&gt;"",'Revisor A'!I54,IF('Revisor A'!H54="","não preenchido",IF(ABS(N('Revisor A'!H54)-N(INDEX(Gabarito!$C:$C,MATCH($A54,Gabarito!$A:$A,0))))&lt;=1,"confere","diverge")))</f>
        <v/>
      </c>
      <c r="E54">
        <f>IF('Revisor A'!K54&lt;&gt;"",'Revisor A'!K54,IF('Revisor A'!J54="","não preenchido",IF(LOWER(TRIM('Revisor A'!J54))=LOWER(TRIM(INDEX(Gabarito!$D:$D,MATCH($A54,Gabarito!$A:$A,0)))),"confere","diverge")))</f>
        <v/>
      </c>
      <c r="F54">
        <f>IF('Revisor A'!M54&lt;&gt;"",'Revisor A'!M54,IF('Revisor A'!L54="","não preenchido",IF(LOWER(TRIM('Revisor A'!L54))=LOWER(TRIM(INDEX(Gabarito!$E:$E,MATCH($A54,Gabarito!$A:$A,0)))),"confere","diverge")))</f>
        <v/>
      </c>
      <c r="G54">
        <f>IF('Revisor A'!O54&lt;&gt;"",'Revisor A'!O54,IF('Revisor A'!N54="","não preenchido",IF(LOWER(TRIM('Revisor A'!N54))=LOWER(TRIM(INDEX(Gabarito!$F:$F,MATCH($A54,Gabarito!$A:$A,0)))),"confere","diverge")))</f>
        <v/>
      </c>
      <c r="H54">
        <f>IF('Revisor A'!Q54&lt;&gt;"",'Revisor A'!Q54,IF('Revisor A'!P54="","não preenchido",IF(LOWER(TRIM('Revisor A'!P54))=LOWER(TRIM(INDEX(Gabarito!$G:$G,MATCH($A54,Gabarito!$A:$A,0)))),"confere","diverge")))</f>
        <v/>
      </c>
      <c r="I54">
        <f>IF('Revisor A'!S54&lt;&gt;"",'Revisor A'!S54,IF('Revisor A'!R54="","não preenchido",IF(LOWER(TRIM('Revisor A'!R54))=LOWER(TRIM(INDEX(Gabarito!$H:$H,MATCH($A54,Gabarito!$A:$A,0)))),"confere","diverge")))</f>
        <v/>
      </c>
      <c r="J54">
        <f>IF('Revisor A'!U54&lt;&gt;"",'Revisor A'!U54,IF('Revisor A'!T54="","não preenchido",IF(LOWER(TRIM('Revisor A'!T54))=LOWER(TRIM(INDEX(Gabarito!$I:$I,MATCH($A54,Gabarito!$A:$A,0)))),"confere","diverge")))</f>
        <v/>
      </c>
      <c r="K54">
        <f>IF('Revisor A'!W54&lt;&gt;"",'Revisor A'!W54,IF('Revisor A'!V54="","não preenchido",IF(LOWER(TRIM('Revisor A'!V54))=LOWER(TRIM(INDEX(Gabarito!$J:$J,MATCH($A54,Gabarito!$A:$A,0)))),"confere","diverge")))</f>
        <v/>
      </c>
      <c r="L54">
        <f>IF('Revisor A'!AB54="","não preenchido",'Revisor A'!AB54)</f>
        <v/>
      </c>
      <c r="M54">
        <f>IF('Revisor A'!AC54="","não preenchido",'Revisor A'!AC54)</f>
        <v/>
      </c>
      <c r="N54">
        <f>COUNTIF(C54:K54,"diverge")</f>
        <v/>
      </c>
      <c r="O54">
        <f>IF(COUNTIF(C54:K54,"não preenchido")=9,"não preenchido",IF(N54&gt;0,"diverge","confere"))</f>
        <v/>
      </c>
    </row>
    <row r="55">
      <c r="A55">
        <f>'Revisor A'!A55</f>
        <v/>
      </c>
      <c r="B55">
        <f>IFERROR(INDEX(Gabarito!$M:$M,MATCH($A55,Gabarito!$A:$A,0)),"")</f>
        <v/>
      </c>
      <c r="C55">
        <f>IF('Revisor A'!G55&lt;&gt;"",'Revisor A'!G55,IF('Revisor A'!F55="","não preenchido",IF(ABS(N('Revisor A'!F55)-N(INDEX(Gabarito!$B:$B,MATCH($A55,Gabarito!$A:$A,0))))&lt;=1,"confere","diverge")))</f>
        <v/>
      </c>
      <c r="D55">
        <f>IF('Revisor A'!I55&lt;&gt;"",'Revisor A'!I55,IF('Revisor A'!H55="","não preenchido",IF(ABS(N('Revisor A'!H55)-N(INDEX(Gabarito!$C:$C,MATCH($A55,Gabarito!$A:$A,0))))&lt;=1,"confere","diverge")))</f>
        <v/>
      </c>
      <c r="E55">
        <f>IF('Revisor A'!K55&lt;&gt;"",'Revisor A'!K55,IF('Revisor A'!J55="","não preenchido",IF(LOWER(TRIM('Revisor A'!J55))=LOWER(TRIM(INDEX(Gabarito!$D:$D,MATCH($A55,Gabarito!$A:$A,0)))),"confere","diverge")))</f>
        <v/>
      </c>
      <c r="F55">
        <f>IF('Revisor A'!M55&lt;&gt;"",'Revisor A'!M55,IF('Revisor A'!L55="","não preenchido",IF(LOWER(TRIM('Revisor A'!L55))=LOWER(TRIM(INDEX(Gabarito!$E:$E,MATCH($A55,Gabarito!$A:$A,0)))),"confere","diverge")))</f>
        <v/>
      </c>
      <c r="G55">
        <f>IF('Revisor A'!O55&lt;&gt;"",'Revisor A'!O55,IF('Revisor A'!N55="","não preenchido",IF(LOWER(TRIM('Revisor A'!N55))=LOWER(TRIM(INDEX(Gabarito!$F:$F,MATCH($A55,Gabarito!$A:$A,0)))),"confere","diverge")))</f>
        <v/>
      </c>
      <c r="H55">
        <f>IF('Revisor A'!Q55&lt;&gt;"",'Revisor A'!Q55,IF('Revisor A'!P55="","não preenchido",IF(LOWER(TRIM('Revisor A'!P55))=LOWER(TRIM(INDEX(Gabarito!$G:$G,MATCH($A55,Gabarito!$A:$A,0)))),"confere","diverge")))</f>
        <v/>
      </c>
      <c r="I55">
        <f>IF('Revisor A'!S55&lt;&gt;"",'Revisor A'!S55,IF('Revisor A'!R55="","não preenchido",IF(LOWER(TRIM('Revisor A'!R55))=LOWER(TRIM(INDEX(Gabarito!$H:$H,MATCH($A55,Gabarito!$A:$A,0)))),"confere","diverge")))</f>
        <v/>
      </c>
      <c r="J55">
        <f>IF('Revisor A'!U55&lt;&gt;"",'Revisor A'!U55,IF('Revisor A'!T55="","não preenchido",IF(LOWER(TRIM('Revisor A'!T55))=LOWER(TRIM(INDEX(Gabarito!$I:$I,MATCH($A55,Gabarito!$A:$A,0)))),"confere","diverge")))</f>
        <v/>
      </c>
      <c r="K55">
        <f>IF('Revisor A'!W55&lt;&gt;"",'Revisor A'!W55,IF('Revisor A'!V55="","não preenchido",IF(LOWER(TRIM('Revisor A'!V55))=LOWER(TRIM(INDEX(Gabarito!$J:$J,MATCH($A55,Gabarito!$A:$A,0)))),"confere","diverge")))</f>
        <v/>
      </c>
      <c r="L55">
        <f>IF('Revisor A'!AB55="","não preenchido",'Revisor A'!AB55)</f>
        <v/>
      </c>
      <c r="M55">
        <f>IF('Revisor A'!AC55="","não preenchido",'Revisor A'!AC55)</f>
        <v/>
      </c>
      <c r="N55">
        <f>COUNTIF(C55:K55,"diverge")</f>
        <v/>
      </c>
      <c r="O55">
        <f>IF(COUNTIF(C55:K55,"não preenchido")=9,"não preenchido",IF(N55&gt;0,"diverge","confere"))</f>
        <v/>
      </c>
    </row>
    <row r="56">
      <c r="A56">
        <f>'Revisor A'!A56</f>
        <v/>
      </c>
      <c r="B56">
        <f>IFERROR(INDEX(Gabarito!$M:$M,MATCH($A56,Gabarito!$A:$A,0)),"")</f>
        <v/>
      </c>
      <c r="C56">
        <f>IF('Revisor A'!G56&lt;&gt;"",'Revisor A'!G56,IF('Revisor A'!F56="","não preenchido",IF(ABS(N('Revisor A'!F56)-N(INDEX(Gabarito!$B:$B,MATCH($A56,Gabarito!$A:$A,0))))&lt;=1,"confere","diverge")))</f>
        <v/>
      </c>
      <c r="D56">
        <f>IF('Revisor A'!I56&lt;&gt;"",'Revisor A'!I56,IF('Revisor A'!H56="","não preenchido",IF(ABS(N('Revisor A'!H56)-N(INDEX(Gabarito!$C:$C,MATCH($A56,Gabarito!$A:$A,0))))&lt;=1,"confere","diverge")))</f>
        <v/>
      </c>
      <c r="E56">
        <f>IF('Revisor A'!K56&lt;&gt;"",'Revisor A'!K56,IF('Revisor A'!J56="","não preenchido",IF(LOWER(TRIM('Revisor A'!J56))=LOWER(TRIM(INDEX(Gabarito!$D:$D,MATCH($A56,Gabarito!$A:$A,0)))),"confere","diverge")))</f>
        <v/>
      </c>
      <c r="F56">
        <f>IF('Revisor A'!M56&lt;&gt;"",'Revisor A'!M56,IF('Revisor A'!L56="","não preenchido",IF(LOWER(TRIM('Revisor A'!L56))=LOWER(TRIM(INDEX(Gabarito!$E:$E,MATCH($A56,Gabarito!$A:$A,0)))),"confere","diverge")))</f>
        <v/>
      </c>
      <c r="G56">
        <f>IF('Revisor A'!O56&lt;&gt;"",'Revisor A'!O56,IF('Revisor A'!N56="","não preenchido",IF(LOWER(TRIM('Revisor A'!N56))=LOWER(TRIM(INDEX(Gabarito!$F:$F,MATCH($A56,Gabarito!$A:$A,0)))),"confere","diverge")))</f>
        <v/>
      </c>
      <c r="H56">
        <f>IF('Revisor A'!Q56&lt;&gt;"",'Revisor A'!Q56,IF('Revisor A'!P56="","não preenchido",IF(LOWER(TRIM('Revisor A'!P56))=LOWER(TRIM(INDEX(Gabarito!$G:$G,MATCH($A56,Gabarito!$A:$A,0)))),"confere","diverge")))</f>
        <v/>
      </c>
      <c r="I56">
        <f>IF('Revisor A'!S56&lt;&gt;"",'Revisor A'!S56,IF('Revisor A'!R56="","não preenchido",IF(LOWER(TRIM('Revisor A'!R56))=LOWER(TRIM(INDEX(Gabarito!$H:$H,MATCH($A56,Gabarito!$A:$A,0)))),"confere","diverge")))</f>
        <v/>
      </c>
      <c r="J56">
        <f>IF('Revisor A'!U56&lt;&gt;"",'Revisor A'!U56,IF('Revisor A'!T56="","não preenchido",IF(LOWER(TRIM('Revisor A'!T56))=LOWER(TRIM(INDEX(Gabarito!$I:$I,MATCH($A56,Gabarito!$A:$A,0)))),"confere","diverge")))</f>
        <v/>
      </c>
      <c r="K56">
        <f>IF('Revisor A'!W56&lt;&gt;"",'Revisor A'!W56,IF('Revisor A'!V56="","não preenchido",IF(LOWER(TRIM('Revisor A'!V56))=LOWER(TRIM(INDEX(Gabarito!$J:$J,MATCH($A56,Gabarito!$A:$A,0)))),"confere","diverge")))</f>
        <v/>
      </c>
      <c r="L56">
        <f>IF('Revisor A'!AB56="","não preenchido",'Revisor A'!AB56)</f>
        <v/>
      </c>
      <c r="M56">
        <f>IF('Revisor A'!AC56="","não preenchido",'Revisor A'!AC56)</f>
        <v/>
      </c>
      <c r="N56">
        <f>COUNTIF(C56:K56,"diverge")</f>
        <v/>
      </c>
      <c r="O56">
        <f>IF(COUNTIF(C56:K56,"não preenchido")=9,"não preenchido",IF(N56&gt;0,"diverge","confere"))</f>
        <v/>
      </c>
    </row>
    <row r="57">
      <c r="A57">
        <f>'Revisor A'!A57</f>
        <v/>
      </c>
      <c r="B57">
        <f>IFERROR(INDEX(Gabarito!$M:$M,MATCH($A57,Gabarito!$A:$A,0)),"")</f>
        <v/>
      </c>
      <c r="C57">
        <f>IF('Revisor A'!G57&lt;&gt;"",'Revisor A'!G57,IF('Revisor A'!F57="","não preenchido",IF(ABS(N('Revisor A'!F57)-N(INDEX(Gabarito!$B:$B,MATCH($A57,Gabarito!$A:$A,0))))&lt;=1,"confere","diverge")))</f>
        <v/>
      </c>
      <c r="D57">
        <f>IF('Revisor A'!I57&lt;&gt;"",'Revisor A'!I57,IF('Revisor A'!H57="","não preenchido",IF(ABS(N('Revisor A'!H57)-N(INDEX(Gabarito!$C:$C,MATCH($A57,Gabarito!$A:$A,0))))&lt;=1,"confere","diverge")))</f>
        <v/>
      </c>
      <c r="E57">
        <f>IF('Revisor A'!K57&lt;&gt;"",'Revisor A'!K57,IF('Revisor A'!J57="","não preenchido",IF(LOWER(TRIM('Revisor A'!J57))=LOWER(TRIM(INDEX(Gabarito!$D:$D,MATCH($A57,Gabarito!$A:$A,0)))),"confere","diverge")))</f>
        <v/>
      </c>
      <c r="F57">
        <f>IF('Revisor A'!M57&lt;&gt;"",'Revisor A'!M57,IF('Revisor A'!L57="","não preenchido",IF(LOWER(TRIM('Revisor A'!L57))=LOWER(TRIM(INDEX(Gabarito!$E:$E,MATCH($A57,Gabarito!$A:$A,0)))),"confere","diverge")))</f>
        <v/>
      </c>
      <c r="G57">
        <f>IF('Revisor A'!O57&lt;&gt;"",'Revisor A'!O57,IF('Revisor A'!N57="","não preenchido",IF(LOWER(TRIM('Revisor A'!N57))=LOWER(TRIM(INDEX(Gabarito!$F:$F,MATCH($A57,Gabarito!$A:$A,0)))),"confere","diverge")))</f>
        <v/>
      </c>
      <c r="H57">
        <f>IF('Revisor A'!Q57&lt;&gt;"",'Revisor A'!Q57,IF('Revisor A'!P57="","não preenchido",IF(LOWER(TRIM('Revisor A'!P57))=LOWER(TRIM(INDEX(Gabarito!$G:$G,MATCH($A57,Gabarito!$A:$A,0)))),"confere","diverge")))</f>
        <v/>
      </c>
      <c r="I57">
        <f>IF('Revisor A'!S57&lt;&gt;"",'Revisor A'!S57,IF('Revisor A'!R57="","não preenchido",IF(LOWER(TRIM('Revisor A'!R57))=LOWER(TRIM(INDEX(Gabarito!$H:$H,MATCH($A57,Gabarito!$A:$A,0)))),"confere","diverge")))</f>
        <v/>
      </c>
      <c r="J57">
        <f>IF('Revisor A'!U57&lt;&gt;"",'Revisor A'!U57,IF('Revisor A'!T57="","não preenchido",IF(LOWER(TRIM('Revisor A'!T57))=LOWER(TRIM(INDEX(Gabarito!$I:$I,MATCH($A57,Gabarito!$A:$A,0)))),"confere","diverge")))</f>
        <v/>
      </c>
      <c r="K57">
        <f>IF('Revisor A'!W57&lt;&gt;"",'Revisor A'!W57,IF('Revisor A'!V57="","não preenchido",IF(LOWER(TRIM('Revisor A'!V57))=LOWER(TRIM(INDEX(Gabarito!$J:$J,MATCH($A57,Gabarito!$A:$A,0)))),"confere","diverge")))</f>
        <v/>
      </c>
      <c r="L57">
        <f>IF('Revisor A'!AB57="","não preenchido",'Revisor A'!AB57)</f>
        <v/>
      </c>
      <c r="M57">
        <f>IF('Revisor A'!AC57="","não preenchido",'Revisor A'!AC57)</f>
        <v/>
      </c>
      <c r="N57">
        <f>COUNTIF(C57:K57,"diverge")</f>
        <v/>
      </c>
      <c r="O57">
        <f>IF(COUNTIF(C57:K57,"não preenchido")=9,"não preenchido",IF(N57&gt;0,"diverge","confere"))</f>
        <v/>
      </c>
    </row>
    <row r="58">
      <c r="A58">
        <f>'Revisor A'!A58</f>
        <v/>
      </c>
      <c r="B58">
        <f>IFERROR(INDEX(Gabarito!$M:$M,MATCH($A58,Gabarito!$A:$A,0)),"")</f>
        <v/>
      </c>
      <c r="C58">
        <f>IF('Revisor A'!G58&lt;&gt;"",'Revisor A'!G58,IF('Revisor A'!F58="","não preenchido",IF(ABS(N('Revisor A'!F58)-N(INDEX(Gabarito!$B:$B,MATCH($A58,Gabarito!$A:$A,0))))&lt;=1,"confere","diverge")))</f>
        <v/>
      </c>
      <c r="D58">
        <f>IF('Revisor A'!I58&lt;&gt;"",'Revisor A'!I58,IF('Revisor A'!H58="","não preenchido",IF(ABS(N('Revisor A'!H58)-N(INDEX(Gabarito!$C:$C,MATCH($A58,Gabarito!$A:$A,0))))&lt;=1,"confere","diverge")))</f>
        <v/>
      </c>
      <c r="E58">
        <f>IF('Revisor A'!K58&lt;&gt;"",'Revisor A'!K58,IF('Revisor A'!J58="","não preenchido",IF(LOWER(TRIM('Revisor A'!J58))=LOWER(TRIM(INDEX(Gabarito!$D:$D,MATCH($A58,Gabarito!$A:$A,0)))),"confere","diverge")))</f>
        <v/>
      </c>
      <c r="F58">
        <f>IF('Revisor A'!M58&lt;&gt;"",'Revisor A'!M58,IF('Revisor A'!L58="","não preenchido",IF(LOWER(TRIM('Revisor A'!L58))=LOWER(TRIM(INDEX(Gabarito!$E:$E,MATCH($A58,Gabarito!$A:$A,0)))),"confere","diverge")))</f>
        <v/>
      </c>
      <c r="G58">
        <f>IF('Revisor A'!O58&lt;&gt;"",'Revisor A'!O58,IF('Revisor A'!N58="","não preenchido",IF(LOWER(TRIM('Revisor A'!N58))=LOWER(TRIM(INDEX(Gabarito!$F:$F,MATCH($A58,Gabarito!$A:$A,0)))),"confere","diverge")))</f>
        <v/>
      </c>
      <c r="H58">
        <f>IF('Revisor A'!Q58&lt;&gt;"",'Revisor A'!Q58,IF('Revisor A'!P58="","não preenchido",IF(LOWER(TRIM('Revisor A'!P58))=LOWER(TRIM(INDEX(Gabarito!$G:$G,MATCH($A58,Gabarito!$A:$A,0)))),"confere","diverge")))</f>
        <v/>
      </c>
      <c r="I58">
        <f>IF('Revisor A'!S58&lt;&gt;"",'Revisor A'!S58,IF('Revisor A'!R58="","não preenchido",IF(LOWER(TRIM('Revisor A'!R58))=LOWER(TRIM(INDEX(Gabarito!$H:$H,MATCH($A58,Gabarito!$A:$A,0)))),"confere","diverge")))</f>
        <v/>
      </c>
      <c r="J58">
        <f>IF('Revisor A'!U58&lt;&gt;"",'Revisor A'!U58,IF('Revisor A'!T58="","não preenchido",IF(LOWER(TRIM('Revisor A'!T58))=LOWER(TRIM(INDEX(Gabarito!$I:$I,MATCH($A58,Gabarito!$A:$A,0)))),"confere","diverge")))</f>
        <v/>
      </c>
      <c r="K58">
        <f>IF('Revisor A'!W58&lt;&gt;"",'Revisor A'!W58,IF('Revisor A'!V58="","não preenchido",IF(LOWER(TRIM('Revisor A'!V58))=LOWER(TRIM(INDEX(Gabarito!$J:$J,MATCH($A58,Gabarito!$A:$A,0)))),"confere","diverge")))</f>
        <v/>
      </c>
      <c r="L58">
        <f>IF('Revisor A'!AB58="","não preenchido",'Revisor A'!AB58)</f>
        <v/>
      </c>
      <c r="M58">
        <f>IF('Revisor A'!AC58="","não preenchido",'Revisor A'!AC58)</f>
        <v/>
      </c>
      <c r="N58">
        <f>COUNTIF(C58:K58,"diverge")</f>
        <v/>
      </c>
      <c r="O58">
        <f>IF(COUNTIF(C58:K58,"não preenchido")=9,"não preenchido",IF(N58&gt;0,"diverge","confere"))</f>
        <v/>
      </c>
    </row>
    <row r="59">
      <c r="A59">
        <f>'Revisor A'!A59</f>
        <v/>
      </c>
      <c r="B59">
        <f>IFERROR(INDEX(Gabarito!$M:$M,MATCH($A59,Gabarito!$A:$A,0)),"")</f>
        <v/>
      </c>
      <c r="C59">
        <f>IF('Revisor A'!G59&lt;&gt;"",'Revisor A'!G59,IF('Revisor A'!F59="","não preenchido",IF(ABS(N('Revisor A'!F59)-N(INDEX(Gabarito!$B:$B,MATCH($A59,Gabarito!$A:$A,0))))&lt;=1,"confere","diverge")))</f>
        <v/>
      </c>
      <c r="D59">
        <f>IF('Revisor A'!I59&lt;&gt;"",'Revisor A'!I59,IF('Revisor A'!H59="","não preenchido",IF(ABS(N('Revisor A'!H59)-N(INDEX(Gabarito!$C:$C,MATCH($A59,Gabarito!$A:$A,0))))&lt;=1,"confere","diverge")))</f>
        <v/>
      </c>
      <c r="E59">
        <f>IF('Revisor A'!K59&lt;&gt;"",'Revisor A'!K59,IF('Revisor A'!J59="","não preenchido",IF(LOWER(TRIM('Revisor A'!J59))=LOWER(TRIM(INDEX(Gabarito!$D:$D,MATCH($A59,Gabarito!$A:$A,0)))),"confere","diverge")))</f>
        <v/>
      </c>
      <c r="F59">
        <f>IF('Revisor A'!M59&lt;&gt;"",'Revisor A'!M59,IF('Revisor A'!L59="","não preenchido",IF(LOWER(TRIM('Revisor A'!L59))=LOWER(TRIM(INDEX(Gabarito!$E:$E,MATCH($A59,Gabarito!$A:$A,0)))),"confere","diverge")))</f>
        <v/>
      </c>
      <c r="G59">
        <f>IF('Revisor A'!O59&lt;&gt;"",'Revisor A'!O59,IF('Revisor A'!N59="","não preenchido",IF(LOWER(TRIM('Revisor A'!N59))=LOWER(TRIM(INDEX(Gabarito!$F:$F,MATCH($A59,Gabarito!$A:$A,0)))),"confere","diverge")))</f>
        <v/>
      </c>
      <c r="H59">
        <f>IF('Revisor A'!Q59&lt;&gt;"",'Revisor A'!Q59,IF('Revisor A'!P59="","não preenchido",IF(LOWER(TRIM('Revisor A'!P59))=LOWER(TRIM(INDEX(Gabarito!$G:$G,MATCH($A59,Gabarito!$A:$A,0)))),"confere","diverge")))</f>
        <v/>
      </c>
      <c r="I59">
        <f>IF('Revisor A'!S59&lt;&gt;"",'Revisor A'!S59,IF('Revisor A'!R59="","não preenchido",IF(LOWER(TRIM('Revisor A'!R59))=LOWER(TRIM(INDEX(Gabarito!$H:$H,MATCH($A59,Gabarito!$A:$A,0)))),"confere","diverge")))</f>
        <v/>
      </c>
      <c r="J59">
        <f>IF('Revisor A'!U59&lt;&gt;"",'Revisor A'!U59,IF('Revisor A'!T59="","não preenchido",IF(LOWER(TRIM('Revisor A'!T59))=LOWER(TRIM(INDEX(Gabarito!$I:$I,MATCH($A59,Gabarito!$A:$A,0)))),"confere","diverge")))</f>
        <v/>
      </c>
      <c r="K59">
        <f>IF('Revisor A'!W59&lt;&gt;"",'Revisor A'!W59,IF('Revisor A'!V59="","não preenchido",IF(LOWER(TRIM('Revisor A'!V59))=LOWER(TRIM(INDEX(Gabarito!$J:$J,MATCH($A59,Gabarito!$A:$A,0)))),"confere","diverge")))</f>
        <v/>
      </c>
      <c r="L59">
        <f>IF('Revisor A'!AB59="","não preenchido",'Revisor A'!AB59)</f>
        <v/>
      </c>
      <c r="M59">
        <f>IF('Revisor A'!AC59="","não preenchido",'Revisor A'!AC59)</f>
        <v/>
      </c>
      <c r="N59">
        <f>COUNTIF(C59:K59,"diverge")</f>
        <v/>
      </c>
      <c r="O59">
        <f>IF(COUNTIF(C59:K59,"não preenchido")=9,"não preenchido",IF(N59&gt;0,"diverge","confere"))</f>
        <v/>
      </c>
    </row>
    <row r="60">
      <c r="A60">
        <f>'Revisor A'!A60</f>
        <v/>
      </c>
      <c r="B60">
        <f>IFERROR(INDEX(Gabarito!$M:$M,MATCH($A60,Gabarito!$A:$A,0)),"")</f>
        <v/>
      </c>
      <c r="C60">
        <f>IF('Revisor A'!G60&lt;&gt;"",'Revisor A'!G60,IF('Revisor A'!F60="","não preenchido",IF(ABS(N('Revisor A'!F60)-N(INDEX(Gabarito!$B:$B,MATCH($A60,Gabarito!$A:$A,0))))&lt;=1,"confere","diverge")))</f>
        <v/>
      </c>
      <c r="D60">
        <f>IF('Revisor A'!I60&lt;&gt;"",'Revisor A'!I60,IF('Revisor A'!H60="","não preenchido",IF(ABS(N('Revisor A'!H60)-N(INDEX(Gabarito!$C:$C,MATCH($A60,Gabarito!$A:$A,0))))&lt;=1,"confere","diverge")))</f>
        <v/>
      </c>
      <c r="E60">
        <f>IF('Revisor A'!K60&lt;&gt;"",'Revisor A'!K60,IF('Revisor A'!J60="","não preenchido",IF(LOWER(TRIM('Revisor A'!J60))=LOWER(TRIM(INDEX(Gabarito!$D:$D,MATCH($A60,Gabarito!$A:$A,0)))),"confere","diverge")))</f>
        <v/>
      </c>
      <c r="F60">
        <f>IF('Revisor A'!M60&lt;&gt;"",'Revisor A'!M60,IF('Revisor A'!L60="","não preenchido",IF(LOWER(TRIM('Revisor A'!L60))=LOWER(TRIM(INDEX(Gabarito!$E:$E,MATCH($A60,Gabarito!$A:$A,0)))),"confere","diverge")))</f>
        <v/>
      </c>
      <c r="G60">
        <f>IF('Revisor A'!O60&lt;&gt;"",'Revisor A'!O60,IF('Revisor A'!N60="","não preenchido",IF(LOWER(TRIM('Revisor A'!N60))=LOWER(TRIM(INDEX(Gabarito!$F:$F,MATCH($A60,Gabarito!$A:$A,0)))),"confere","diverge")))</f>
        <v/>
      </c>
      <c r="H60">
        <f>IF('Revisor A'!Q60&lt;&gt;"",'Revisor A'!Q60,IF('Revisor A'!P60="","não preenchido",IF(LOWER(TRIM('Revisor A'!P60))=LOWER(TRIM(INDEX(Gabarito!$G:$G,MATCH($A60,Gabarito!$A:$A,0)))),"confere","diverge")))</f>
        <v/>
      </c>
      <c r="I60">
        <f>IF('Revisor A'!S60&lt;&gt;"",'Revisor A'!S60,IF('Revisor A'!R60="","não preenchido",IF(LOWER(TRIM('Revisor A'!R60))=LOWER(TRIM(INDEX(Gabarito!$H:$H,MATCH($A60,Gabarito!$A:$A,0)))),"confere","diverge")))</f>
        <v/>
      </c>
      <c r="J60">
        <f>IF('Revisor A'!U60&lt;&gt;"",'Revisor A'!U60,IF('Revisor A'!T60="","não preenchido",IF(LOWER(TRIM('Revisor A'!T60))=LOWER(TRIM(INDEX(Gabarito!$I:$I,MATCH($A60,Gabarito!$A:$A,0)))),"confere","diverge")))</f>
        <v/>
      </c>
      <c r="K60">
        <f>IF('Revisor A'!W60&lt;&gt;"",'Revisor A'!W60,IF('Revisor A'!V60="","não preenchido",IF(LOWER(TRIM('Revisor A'!V60))=LOWER(TRIM(INDEX(Gabarito!$J:$J,MATCH($A60,Gabarito!$A:$A,0)))),"confere","diverge")))</f>
        <v/>
      </c>
      <c r="L60">
        <f>IF('Revisor A'!AB60="","não preenchido",'Revisor A'!AB60)</f>
        <v/>
      </c>
      <c r="M60">
        <f>IF('Revisor A'!AC60="","não preenchido",'Revisor A'!AC60)</f>
        <v/>
      </c>
      <c r="N60">
        <f>COUNTIF(C60:K60,"diverge")</f>
        <v/>
      </c>
      <c r="O60">
        <f>IF(COUNTIF(C60:K60,"não preenchido")=9,"não preenchido",IF(N60&gt;0,"diverge","confere"))</f>
        <v/>
      </c>
    </row>
    <row r="61">
      <c r="A61">
        <f>'Revisor A'!A61</f>
        <v/>
      </c>
      <c r="B61">
        <f>IFERROR(INDEX(Gabarito!$M:$M,MATCH($A61,Gabarito!$A:$A,0)),"")</f>
        <v/>
      </c>
      <c r="C61">
        <f>IF('Revisor A'!G61&lt;&gt;"",'Revisor A'!G61,IF('Revisor A'!F61="","não preenchido",IF(ABS(N('Revisor A'!F61)-N(INDEX(Gabarito!$B:$B,MATCH($A61,Gabarito!$A:$A,0))))&lt;=1,"confere","diverge")))</f>
        <v/>
      </c>
      <c r="D61">
        <f>IF('Revisor A'!I61&lt;&gt;"",'Revisor A'!I61,IF('Revisor A'!H61="","não preenchido",IF(ABS(N('Revisor A'!H61)-N(INDEX(Gabarito!$C:$C,MATCH($A61,Gabarito!$A:$A,0))))&lt;=1,"confere","diverge")))</f>
        <v/>
      </c>
      <c r="E61">
        <f>IF('Revisor A'!K61&lt;&gt;"",'Revisor A'!K61,IF('Revisor A'!J61="","não preenchido",IF(LOWER(TRIM('Revisor A'!J61))=LOWER(TRIM(INDEX(Gabarito!$D:$D,MATCH($A61,Gabarito!$A:$A,0)))),"confere","diverge")))</f>
        <v/>
      </c>
      <c r="F61">
        <f>IF('Revisor A'!M61&lt;&gt;"",'Revisor A'!M61,IF('Revisor A'!L61="","não preenchido",IF(LOWER(TRIM('Revisor A'!L61))=LOWER(TRIM(INDEX(Gabarito!$E:$E,MATCH($A61,Gabarito!$A:$A,0)))),"confere","diverge")))</f>
        <v/>
      </c>
      <c r="G61">
        <f>IF('Revisor A'!O61&lt;&gt;"",'Revisor A'!O61,IF('Revisor A'!N61="","não preenchido",IF(LOWER(TRIM('Revisor A'!N61))=LOWER(TRIM(INDEX(Gabarito!$F:$F,MATCH($A61,Gabarito!$A:$A,0)))),"confere","diverge")))</f>
        <v/>
      </c>
      <c r="H61">
        <f>IF('Revisor A'!Q61&lt;&gt;"",'Revisor A'!Q61,IF('Revisor A'!P61="","não preenchido",IF(LOWER(TRIM('Revisor A'!P61))=LOWER(TRIM(INDEX(Gabarito!$G:$G,MATCH($A61,Gabarito!$A:$A,0)))),"confere","diverge")))</f>
        <v/>
      </c>
      <c r="I61">
        <f>IF('Revisor A'!S61&lt;&gt;"",'Revisor A'!S61,IF('Revisor A'!R61="","não preenchido",IF(LOWER(TRIM('Revisor A'!R61))=LOWER(TRIM(INDEX(Gabarito!$H:$H,MATCH($A61,Gabarito!$A:$A,0)))),"confere","diverge")))</f>
        <v/>
      </c>
      <c r="J61">
        <f>IF('Revisor A'!U61&lt;&gt;"",'Revisor A'!U61,IF('Revisor A'!T61="","não preenchido",IF(LOWER(TRIM('Revisor A'!T61))=LOWER(TRIM(INDEX(Gabarito!$I:$I,MATCH($A61,Gabarito!$A:$A,0)))),"confere","diverge")))</f>
        <v/>
      </c>
      <c r="K61">
        <f>IF('Revisor A'!W61&lt;&gt;"",'Revisor A'!W61,IF('Revisor A'!V61="","não preenchido",IF(LOWER(TRIM('Revisor A'!V61))=LOWER(TRIM(INDEX(Gabarito!$J:$J,MATCH($A61,Gabarito!$A:$A,0)))),"confere","diverge")))</f>
        <v/>
      </c>
      <c r="L61">
        <f>IF('Revisor A'!AB61="","não preenchido",'Revisor A'!AB61)</f>
        <v/>
      </c>
      <c r="M61">
        <f>IF('Revisor A'!AC61="","não preenchido",'Revisor A'!AC61)</f>
        <v/>
      </c>
      <c r="N61">
        <f>COUNTIF(C61:K61,"diverge")</f>
        <v/>
      </c>
      <c r="O61">
        <f>IF(COUNTIF(C61:K61,"não preenchido")=9,"não preenchido",IF(N61&gt;0,"diverge","confere"))</f>
        <v/>
      </c>
    </row>
    <row r="62">
      <c r="A62">
        <f>'Revisor A'!A62</f>
        <v/>
      </c>
      <c r="B62">
        <f>IFERROR(INDEX(Gabarito!$M:$M,MATCH($A62,Gabarito!$A:$A,0)),"")</f>
        <v/>
      </c>
      <c r="C62">
        <f>IF('Revisor A'!G62&lt;&gt;"",'Revisor A'!G62,IF('Revisor A'!F62="","não preenchido",IF(ABS(N('Revisor A'!F62)-N(INDEX(Gabarito!$B:$B,MATCH($A62,Gabarito!$A:$A,0))))&lt;=1,"confere","diverge")))</f>
        <v/>
      </c>
      <c r="D62">
        <f>IF('Revisor A'!I62&lt;&gt;"",'Revisor A'!I62,IF('Revisor A'!H62="","não preenchido",IF(ABS(N('Revisor A'!H62)-N(INDEX(Gabarito!$C:$C,MATCH($A62,Gabarito!$A:$A,0))))&lt;=1,"confere","diverge")))</f>
        <v/>
      </c>
      <c r="E62">
        <f>IF('Revisor A'!K62&lt;&gt;"",'Revisor A'!K62,IF('Revisor A'!J62="","não preenchido",IF(LOWER(TRIM('Revisor A'!J62))=LOWER(TRIM(INDEX(Gabarito!$D:$D,MATCH($A62,Gabarito!$A:$A,0)))),"confere","diverge")))</f>
        <v/>
      </c>
      <c r="F62">
        <f>IF('Revisor A'!M62&lt;&gt;"",'Revisor A'!M62,IF('Revisor A'!L62="","não preenchido",IF(LOWER(TRIM('Revisor A'!L62))=LOWER(TRIM(INDEX(Gabarito!$E:$E,MATCH($A62,Gabarito!$A:$A,0)))),"confere","diverge")))</f>
        <v/>
      </c>
      <c r="G62">
        <f>IF('Revisor A'!O62&lt;&gt;"",'Revisor A'!O62,IF('Revisor A'!N62="","não preenchido",IF(LOWER(TRIM('Revisor A'!N62))=LOWER(TRIM(INDEX(Gabarito!$F:$F,MATCH($A62,Gabarito!$A:$A,0)))),"confere","diverge")))</f>
        <v/>
      </c>
      <c r="H62">
        <f>IF('Revisor A'!Q62&lt;&gt;"",'Revisor A'!Q62,IF('Revisor A'!P62="","não preenchido",IF(LOWER(TRIM('Revisor A'!P62))=LOWER(TRIM(INDEX(Gabarito!$G:$G,MATCH($A62,Gabarito!$A:$A,0)))),"confere","diverge")))</f>
        <v/>
      </c>
      <c r="I62">
        <f>IF('Revisor A'!S62&lt;&gt;"",'Revisor A'!S62,IF('Revisor A'!R62="","não preenchido",IF(LOWER(TRIM('Revisor A'!R62))=LOWER(TRIM(INDEX(Gabarito!$H:$H,MATCH($A62,Gabarito!$A:$A,0)))),"confere","diverge")))</f>
        <v/>
      </c>
      <c r="J62">
        <f>IF('Revisor A'!U62&lt;&gt;"",'Revisor A'!U62,IF('Revisor A'!T62="","não preenchido",IF(LOWER(TRIM('Revisor A'!T62))=LOWER(TRIM(INDEX(Gabarito!$I:$I,MATCH($A62,Gabarito!$A:$A,0)))),"confere","diverge")))</f>
        <v/>
      </c>
      <c r="K62">
        <f>IF('Revisor A'!W62&lt;&gt;"",'Revisor A'!W62,IF('Revisor A'!V62="","não preenchido",IF(LOWER(TRIM('Revisor A'!V62))=LOWER(TRIM(INDEX(Gabarito!$J:$J,MATCH($A62,Gabarito!$A:$A,0)))),"confere","diverge")))</f>
        <v/>
      </c>
      <c r="L62">
        <f>IF('Revisor A'!AB62="","não preenchido",'Revisor A'!AB62)</f>
        <v/>
      </c>
      <c r="M62">
        <f>IF('Revisor A'!AC62="","não preenchido",'Revisor A'!AC62)</f>
        <v/>
      </c>
      <c r="N62">
        <f>COUNTIF(C62:K62,"diverge")</f>
        <v/>
      </c>
      <c r="O62">
        <f>IF(COUNTIF(C62:K62,"não preenchido")=9,"não preenchido",IF(N62&gt;0,"diverge","confere"))</f>
        <v/>
      </c>
    </row>
    <row r="63">
      <c r="A63">
        <f>'Revisor A'!A63</f>
        <v/>
      </c>
      <c r="B63">
        <f>IFERROR(INDEX(Gabarito!$M:$M,MATCH($A63,Gabarito!$A:$A,0)),"")</f>
        <v/>
      </c>
      <c r="C63">
        <f>IF('Revisor A'!G63&lt;&gt;"",'Revisor A'!G63,IF('Revisor A'!F63="","não preenchido",IF(ABS(N('Revisor A'!F63)-N(INDEX(Gabarito!$B:$B,MATCH($A63,Gabarito!$A:$A,0))))&lt;=1,"confere","diverge")))</f>
        <v/>
      </c>
      <c r="D63">
        <f>IF('Revisor A'!I63&lt;&gt;"",'Revisor A'!I63,IF('Revisor A'!H63="","não preenchido",IF(ABS(N('Revisor A'!H63)-N(INDEX(Gabarito!$C:$C,MATCH($A63,Gabarito!$A:$A,0))))&lt;=1,"confere","diverge")))</f>
        <v/>
      </c>
      <c r="E63">
        <f>IF('Revisor A'!K63&lt;&gt;"",'Revisor A'!K63,IF('Revisor A'!J63="","não preenchido",IF(LOWER(TRIM('Revisor A'!J63))=LOWER(TRIM(INDEX(Gabarito!$D:$D,MATCH($A63,Gabarito!$A:$A,0)))),"confere","diverge")))</f>
        <v/>
      </c>
      <c r="F63">
        <f>IF('Revisor A'!M63&lt;&gt;"",'Revisor A'!M63,IF('Revisor A'!L63="","não preenchido",IF(LOWER(TRIM('Revisor A'!L63))=LOWER(TRIM(INDEX(Gabarito!$E:$E,MATCH($A63,Gabarito!$A:$A,0)))),"confere","diverge")))</f>
        <v/>
      </c>
      <c r="G63">
        <f>IF('Revisor A'!O63&lt;&gt;"",'Revisor A'!O63,IF('Revisor A'!N63="","não preenchido",IF(LOWER(TRIM('Revisor A'!N63))=LOWER(TRIM(INDEX(Gabarito!$F:$F,MATCH($A63,Gabarito!$A:$A,0)))),"confere","diverge")))</f>
        <v/>
      </c>
      <c r="H63">
        <f>IF('Revisor A'!Q63&lt;&gt;"",'Revisor A'!Q63,IF('Revisor A'!P63="","não preenchido",IF(LOWER(TRIM('Revisor A'!P63))=LOWER(TRIM(INDEX(Gabarito!$G:$G,MATCH($A63,Gabarito!$A:$A,0)))),"confere","diverge")))</f>
        <v/>
      </c>
      <c r="I63">
        <f>IF('Revisor A'!S63&lt;&gt;"",'Revisor A'!S63,IF('Revisor A'!R63="","não preenchido",IF(LOWER(TRIM('Revisor A'!R63))=LOWER(TRIM(INDEX(Gabarito!$H:$H,MATCH($A63,Gabarito!$A:$A,0)))),"confere","diverge")))</f>
        <v/>
      </c>
      <c r="J63">
        <f>IF('Revisor A'!U63&lt;&gt;"",'Revisor A'!U63,IF('Revisor A'!T63="","não preenchido",IF(LOWER(TRIM('Revisor A'!T63))=LOWER(TRIM(INDEX(Gabarito!$I:$I,MATCH($A63,Gabarito!$A:$A,0)))),"confere","diverge")))</f>
        <v/>
      </c>
      <c r="K63">
        <f>IF('Revisor A'!W63&lt;&gt;"",'Revisor A'!W63,IF('Revisor A'!V63="","não preenchido",IF(LOWER(TRIM('Revisor A'!V63))=LOWER(TRIM(INDEX(Gabarito!$J:$J,MATCH($A63,Gabarito!$A:$A,0)))),"confere","diverge")))</f>
        <v/>
      </c>
      <c r="L63">
        <f>IF('Revisor A'!AB63="","não preenchido",'Revisor A'!AB63)</f>
        <v/>
      </c>
      <c r="M63">
        <f>IF('Revisor A'!AC63="","não preenchido",'Revisor A'!AC63)</f>
        <v/>
      </c>
      <c r="N63">
        <f>COUNTIF(C63:K63,"diverge")</f>
        <v/>
      </c>
      <c r="O63">
        <f>IF(COUNTIF(C63:K63,"não preenchido")=9,"não preenchido",IF(N63&gt;0,"diverge","confere"))</f>
        <v/>
      </c>
    </row>
    <row r="64">
      <c r="A64">
        <f>'Revisor A'!A64</f>
        <v/>
      </c>
      <c r="B64">
        <f>IFERROR(INDEX(Gabarito!$M:$M,MATCH($A64,Gabarito!$A:$A,0)),"")</f>
        <v/>
      </c>
      <c r="C64">
        <f>IF('Revisor A'!G64&lt;&gt;"",'Revisor A'!G64,IF('Revisor A'!F64="","não preenchido",IF(ABS(N('Revisor A'!F64)-N(INDEX(Gabarito!$B:$B,MATCH($A64,Gabarito!$A:$A,0))))&lt;=1,"confere","diverge")))</f>
        <v/>
      </c>
      <c r="D64">
        <f>IF('Revisor A'!I64&lt;&gt;"",'Revisor A'!I64,IF('Revisor A'!H64="","não preenchido",IF(ABS(N('Revisor A'!H64)-N(INDEX(Gabarito!$C:$C,MATCH($A64,Gabarito!$A:$A,0))))&lt;=1,"confere","diverge")))</f>
        <v/>
      </c>
      <c r="E64">
        <f>IF('Revisor A'!K64&lt;&gt;"",'Revisor A'!K64,IF('Revisor A'!J64="","não preenchido",IF(LOWER(TRIM('Revisor A'!J64))=LOWER(TRIM(INDEX(Gabarito!$D:$D,MATCH($A64,Gabarito!$A:$A,0)))),"confere","diverge")))</f>
        <v/>
      </c>
      <c r="F64">
        <f>IF('Revisor A'!M64&lt;&gt;"",'Revisor A'!M64,IF('Revisor A'!L64="","não preenchido",IF(LOWER(TRIM('Revisor A'!L64))=LOWER(TRIM(INDEX(Gabarito!$E:$E,MATCH($A64,Gabarito!$A:$A,0)))),"confere","diverge")))</f>
        <v/>
      </c>
      <c r="G64">
        <f>IF('Revisor A'!O64&lt;&gt;"",'Revisor A'!O64,IF('Revisor A'!N64="","não preenchido",IF(LOWER(TRIM('Revisor A'!N64))=LOWER(TRIM(INDEX(Gabarito!$F:$F,MATCH($A64,Gabarito!$A:$A,0)))),"confere","diverge")))</f>
        <v/>
      </c>
      <c r="H64">
        <f>IF('Revisor A'!Q64&lt;&gt;"",'Revisor A'!Q64,IF('Revisor A'!P64="","não preenchido",IF(LOWER(TRIM('Revisor A'!P64))=LOWER(TRIM(INDEX(Gabarito!$G:$G,MATCH($A64,Gabarito!$A:$A,0)))),"confere","diverge")))</f>
        <v/>
      </c>
      <c r="I64">
        <f>IF('Revisor A'!S64&lt;&gt;"",'Revisor A'!S64,IF('Revisor A'!R64="","não preenchido",IF(LOWER(TRIM('Revisor A'!R64))=LOWER(TRIM(INDEX(Gabarito!$H:$H,MATCH($A64,Gabarito!$A:$A,0)))),"confere","diverge")))</f>
        <v/>
      </c>
      <c r="J64">
        <f>IF('Revisor A'!U64&lt;&gt;"",'Revisor A'!U64,IF('Revisor A'!T64="","não preenchido",IF(LOWER(TRIM('Revisor A'!T64))=LOWER(TRIM(INDEX(Gabarito!$I:$I,MATCH($A64,Gabarito!$A:$A,0)))),"confere","diverge")))</f>
        <v/>
      </c>
      <c r="K64">
        <f>IF('Revisor A'!W64&lt;&gt;"",'Revisor A'!W64,IF('Revisor A'!V64="","não preenchido",IF(LOWER(TRIM('Revisor A'!V64))=LOWER(TRIM(INDEX(Gabarito!$J:$J,MATCH($A64,Gabarito!$A:$A,0)))),"confere","diverge")))</f>
        <v/>
      </c>
      <c r="L64">
        <f>IF('Revisor A'!AB64="","não preenchido",'Revisor A'!AB64)</f>
        <v/>
      </c>
      <c r="M64">
        <f>IF('Revisor A'!AC64="","não preenchido",'Revisor A'!AC64)</f>
        <v/>
      </c>
      <c r="N64">
        <f>COUNTIF(C64:K64,"diverge")</f>
        <v/>
      </c>
      <c r="O64">
        <f>IF(COUNTIF(C64:K64,"não preenchido")=9,"não preenchido",IF(N64&gt;0,"diverge","confere"))</f>
        <v/>
      </c>
    </row>
    <row r="65">
      <c r="A65">
        <f>'Revisor A'!A65</f>
        <v/>
      </c>
      <c r="B65">
        <f>IFERROR(INDEX(Gabarito!$M:$M,MATCH($A65,Gabarito!$A:$A,0)),"")</f>
        <v/>
      </c>
      <c r="C65">
        <f>IF('Revisor A'!G65&lt;&gt;"",'Revisor A'!G65,IF('Revisor A'!F65="","não preenchido",IF(ABS(N('Revisor A'!F65)-N(INDEX(Gabarito!$B:$B,MATCH($A65,Gabarito!$A:$A,0))))&lt;=1,"confere","diverge")))</f>
        <v/>
      </c>
      <c r="D65">
        <f>IF('Revisor A'!I65&lt;&gt;"",'Revisor A'!I65,IF('Revisor A'!H65="","não preenchido",IF(ABS(N('Revisor A'!H65)-N(INDEX(Gabarito!$C:$C,MATCH($A65,Gabarito!$A:$A,0))))&lt;=1,"confere","diverge")))</f>
        <v/>
      </c>
      <c r="E65">
        <f>IF('Revisor A'!K65&lt;&gt;"",'Revisor A'!K65,IF('Revisor A'!J65="","não preenchido",IF(LOWER(TRIM('Revisor A'!J65))=LOWER(TRIM(INDEX(Gabarito!$D:$D,MATCH($A65,Gabarito!$A:$A,0)))),"confere","diverge")))</f>
        <v/>
      </c>
      <c r="F65">
        <f>IF('Revisor A'!M65&lt;&gt;"",'Revisor A'!M65,IF('Revisor A'!L65="","não preenchido",IF(LOWER(TRIM('Revisor A'!L65))=LOWER(TRIM(INDEX(Gabarito!$E:$E,MATCH($A65,Gabarito!$A:$A,0)))),"confere","diverge")))</f>
        <v/>
      </c>
      <c r="G65">
        <f>IF('Revisor A'!O65&lt;&gt;"",'Revisor A'!O65,IF('Revisor A'!N65="","não preenchido",IF(LOWER(TRIM('Revisor A'!N65))=LOWER(TRIM(INDEX(Gabarito!$F:$F,MATCH($A65,Gabarito!$A:$A,0)))),"confere","diverge")))</f>
        <v/>
      </c>
      <c r="H65">
        <f>IF('Revisor A'!Q65&lt;&gt;"",'Revisor A'!Q65,IF('Revisor A'!P65="","não preenchido",IF(LOWER(TRIM('Revisor A'!P65))=LOWER(TRIM(INDEX(Gabarito!$G:$G,MATCH($A65,Gabarito!$A:$A,0)))),"confere","diverge")))</f>
        <v/>
      </c>
      <c r="I65">
        <f>IF('Revisor A'!S65&lt;&gt;"",'Revisor A'!S65,IF('Revisor A'!R65="","não preenchido",IF(LOWER(TRIM('Revisor A'!R65))=LOWER(TRIM(INDEX(Gabarito!$H:$H,MATCH($A65,Gabarito!$A:$A,0)))),"confere","diverge")))</f>
        <v/>
      </c>
      <c r="J65">
        <f>IF('Revisor A'!U65&lt;&gt;"",'Revisor A'!U65,IF('Revisor A'!T65="","não preenchido",IF(LOWER(TRIM('Revisor A'!T65))=LOWER(TRIM(INDEX(Gabarito!$I:$I,MATCH($A65,Gabarito!$A:$A,0)))),"confere","diverge")))</f>
        <v/>
      </c>
      <c r="K65">
        <f>IF('Revisor A'!W65&lt;&gt;"",'Revisor A'!W65,IF('Revisor A'!V65="","não preenchido",IF(LOWER(TRIM('Revisor A'!V65))=LOWER(TRIM(INDEX(Gabarito!$J:$J,MATCH($A65,Gabarito!$A:$A,0)))),"confere","diverge")))</f>
        <v/>
      </c>
      <c r="L65">
        <f>IF('Revisor A'!AB65="","não preenchido",'Revisor A'!AB65)</f>
        <v/>
      </c>
      <c r="M65">
        <f>IF('Revisor A'!AC65="","não preenchido",'Revisor A'!AC65)</f>
        <v/>
      </c>
      <c r="N65">
        <f>COUNTIF(C65:K65,"diverge")</f>
        <v/>
      </c>
      <c r="O65">
        <f>IF(COUNTIF(C65:K65,"não preenchido")=9,"não preenchido",IF(N65&gt;0,"diverge","confere"))</f>
        <v/>
      </c>
    </row>
    <row r="66">
      <c r="A66">
        <f>'Revisor A'!A66</f>
        <v/>
      </c>
      <c r="B66">
        <f>IFERROR(INDEX(Gabarito!$M:$M,MATCH($A66,Gabarito!$A:$A,0)),"")</f>
        <v/>
      </c>
      <c r="C66">
        <f>IF('Revisor A'!G66&lt;&gt;"",'Revisor A'!G66,IF('Revisor A'!F66="","não preenchido",IF(ABS(N('Revisor A'!F66)-N(INDEX(Gabarito!$B:$B,MATCH($A66,Gabarito!$A:$A,0))))&lt;=1,"confere","diverge")))</f>
        <v/>
      </c>
      <c r="D66">
        <f>IF('Revisor A'!I66&lt;&gt;"",'Revisor A'!I66,IF('Revisor A'!H66="","não preenchido",IF(ABS(N('Revisor A'!H66)-N(INDEX(Gabarito!$C:$C,MATCH($A66,Gabarito!$A:$A,0))))&lt;=1,"confere","diverge")))</f>
        <v/>
      </c>
      <c r="E66">
        <f>IF('Revisor A'!K66&lt;&gt;"",'Revisor A'!K66,IF('Revisor A'!J66="","não preenchido",IF(LOWER(TRIM('Revisor A'!J66))=LOWER(TRIM(INDEX(Gabarito!$D:$D,MATCH($A66,Gabarito!$A:$A,0)))),"confere","diverge")))</f>
        <v/>
      </c>
      <c r="F66">
        <f>IF('Revisor A'!M66&lt;&gt;"",'Revisor A'!M66,IF('Revisor A'!L66="","não preenchido",IF(LOWER(TRIM('Revisor A'!L66))=LOWER(TRIM(INDEX(Gabarito!$E:$E,MATCH($A66,Gabarito!$A:$A,0)))),"confere","diverge")))</f>
        <v/>
      </c>
      <c r="G66">
        <f>IF('Revisor A'!O66&lt;&gt;"",'Revisor A'!O66,IF('Revisor A'!N66="","não preenchido",IF(LOWER(TRIM('Revisor A'!N66))=LOWER(TRIM(INDEX(Gabarito!$F:$F,MATCH($A66,Gabarito!$A:$A,0)))),"confere","diverge")))</f>
        <v/>
      </c>
      <c r="H66">
        <f>IF('Revisor A'!Q66&lt;&gt;"",'Revisor A'!Q66,IF('Revisor A'!P66="","não preenchido",IF(LOWER(TRIM('Revisor A'!P66))=LOWER(TRIM(INDEX(Gabarito!$G:$G,MATCH($A66,Gabarito!$A:$A,0)))),"confere","diverge")))</f>
        <v/>
      </c>
      <c r="I66">
        <f>IF('Revisor A'!S66&lt;&gt;"",'Revisor A'!S66,IF('Revisor A'!R66="","não preenchido",IF(LOWER(TRIM('Revisor A'!R66))=LOWER(TRIM(INDEX(Gabarito!$H:$H,MATCH($A66,Gabarito!$A:$A,0)))),"confere","diverge")))</f>
        <v/>
      </c>
      <c r="J66">
        <f>IF('Revisor A'!U66&lt;&gt;"",'Revisor A'!U66,IF('Revisor A'!T66="","não preenchido",IF(LOWER(TRIM('Revisor A'!T66))=LOWER(TRIM(INDEX(Gabarito!$I:$I,MATCH($A66,Gabarito!$A:$A,0)))),"confere","diverge")))</f>
        <v/>
      </c>
      <c r="K66">
        <f>IF('Revisor A'!W66&lt;&gt;"",'Revisor A'!W66,IF('Revisor A'!V66="","não preenchido",IF(LOWER(TRIM('Revisor A'!V66))=LOWER(TRIM(INDEX(Gabarito!$J:$J,MATCH($A66,Gabarito!$A:$A,0)))),"confere","diverge")))</f>
        <v/>
      </c>
      <c r="L66">
        <f>IF('Revisor A'!AB66="","não preenchido",'Revisor A'!AB66)</f>
        <v/>
      </c>
      <c r="M66">
        <f>IF('Revisor A'!AC66="","não preenchido",'Revisor A'!AC66)</f>
        <v/>
      </c>
      <c r="N66">
        <f>COUNTIF(C66:K66,"diverge")</f>
        <v/>
      </c>
      <c r="O66">
        <f>IF(COUNTIF(C66:K66,"não preenchido")=9,"não preenchido",IF(N66&gt;0,"diverge","confere"))</f>
        <v/>
      </c>
    </row>
    <row r="67">
      <c r="A67">
        <f>'Revisor A'!A67</f>
        <v/>
      </c>
      <c r="B67">
        <f>IFERROR(INDEX(Gabarito!$M:$M,MATCH($A67,Gabarito!$A:$A,0)),"")</f>
        <v/>
      </c>
      <c r="C67">
        <f>IF('Revisor A'!G67&lt;&gt;"",'Revisor A'!G67,IF('Revisor A'!F67="","não preenchido",IF(ABS(N('Revisor A'!F67)-N(INDEX(Gabarito!$B:$B,MATCH($A67,Gabarito!$A:$A,0))))&lt;=1,"confere","diverge")))</f>
        <v/>
      </c>
      <c r="D67">
        <f>IF('Revisor A'!I67&lt;&gt;"",'Revisor A'!I67,IF('Revisor A'!H67="","não preenchido",IF(ABS(N('Revisor A'!H67)-N(INDEX(Gabarito!$C:$C,MATCH($A67,Gabarito!$A:$A,0))))&lt;=1,"confere","diverge")))</f>
        <v/>
      </c>
      <c r="E67">
        <f>IF('Revisor A'!K67&lt;&gt;"",'Revisor A'!K67,IF('Revisor A'!J67="","não preenchido",IF(LOWER(TRIM('Revisor A'!J67))=LOWER(TRIM(INDEX(Gabarito!$D:$D,MATCH($A67,Gabarito!$A:$A,0)))),"confere","diverge")))</f>
        <v/>
      </c>
      <c r="F67">
        <f>IF('Revisor A'!M67&lt;&gt;"",'Revisor A'!M67,IF('Revisor A'!L67="","não preenchido",IF(LOWER(TRIM('Revisor A'!L67))=LOWER(TRIM(INDEX(Gabarito!$E:$E,MATCH($A67,Gabarito!$A:$A,0)))),"confere","diverge")))</f>
        <v/>
      </c>
      <c r="G67">
        <f>IF('Revisor A'!O67&lt;&gt;"",'Revisor A'!O67,IF('Revisor A'!N67="","não preenchido",IF(LOWER(TRIM('Revisor A'!N67))=LOWER(TRIM(INDEX(Gabarito!$F:$F,MATCH($A67,Gabarito!$A:$A,0)))),"confere","diverge")))</f>
        <v/>
      </c>
      <c r="H67">
        <f>IF('Revisor A'!Q67&lt;&gt;"",'Revisor A'!Q67,IF('Revisor A'!P67="","não preenchido",IF(LOWER(TRIM('Revisor A'!P67))=LOWER(TRIM(INDEX(Gabarito!$G:$G,MATCH($A67,Gabarito!$A:$A,0)))),"confere","diverge")))</f>
        <v/>
      </c>
      <c r="I67">
        <f>IF('Revisor A'!S67&lt;&gt;"",'Revisor A'!S67,IF('Revisor A'!R67="","não preenchido",IF(LOWER(TRIM('Revisor A'!R67))=LOWER(TRIM(INDEX(Gabarito!$H:$H,MATCH($A67,Gabarito!$A:$A,0)))),"confere","diverge")))</f>
        <v/>
      </c>
      <c r="J67">
        <f>IF('Revisor A'!U67&lt;&gt;"",'Revisor A'!U67,IF('Revisor A'!T67="","não preenchido",IF(LOWER(TRIM('Revisor A'!T67))=LOWER(TRIM(INDEX(Gabarito!$I:$I,MATCH($A67,Gabarito!$A:$A,0)))),"confere","diverge")))</f>
        <v/>
      </c>
      <c r="K67">
        <f>IF('Revisor A'!W67&lt;&gt;"",'Revisor A'!W67,IF('Revisor A'!V67="","não preenchido",IF(LOWER(TRIM('Revisor A'!V67))=LOWER(TRIM(INDEX(Gabarito!$J:$J,MATCH($A67,Gabarito!$A:$A,0)))),"confere","diverge")))</f>
        <v/>
      </c>
      <c r="L67">
        <f>IF('Revisor A'!AB67="","não preenchido",'Revisor A'!AB67)</f>
        <v/>
      </c>
      <c r="M67">
        <f>IF('Revisor A'!AC67="","não preenchido",'Revisor A'!AC67)</f>
        <v/>
      </c>
      <c r="N67">
        <f>COUNTIF(C67:K67,"diverge")</f>
        <v/>
      </c>
      <c r="O67">
        <f>IF(COUNTIF(C67:K67,"não preenchido")=9,"não preenchido",IF(N67&gt;0,"diverge","confere"))</f>
        <v/>
      </c>
    </row>
    <row r="68">
      <c r="A68">
        <f>'Revisor A'!A68</f>
        <v/>
      </c>
      <c r="B68">
        <f>IFERROR(INDEX(Gabarito!$M:$M,MATCH($A68,Gabarito!$A:$A,0)),"")</f>
        <v/>
      </c>
      <c r="C68">
        <f>IF('Revisor A'!G68&lt;&gt;"",'Revisor A'!G68,IF('Revisor A'!F68="","não preenchido",IF(ABS(N('Revisor A'!F68)-N(INDEX(Gabarito!$B:$B,MATCH($A68,Gabarito!$A:$A,0))))&lt;=1,"confere","diverge")))</f>
        <v/>
      </c>
      <c r="D68">
        <f>IF('Revisor A'!I68&lt;&gt;"",'Revisor A'!I68,IF('Revisor A'!H68="","não preenchido",IF(ABS(N('Revisor A'!H68)-N(INDEX(Gabarito!$C:$C,MATCH($A68,Gabarito!$A:$A,0))))&lt;=1,"confere","diverge")))</f>
        <v/>
      </c>
      <c r="E68">
        <f>IF('Revisor A'!K68&lt;&gt;"",'Revisor A'!K68,IF('Revisor A'!J68="","não preenchido",IF(LOWER(TRIM('Revisor A'!J68))=LOWER(TRIM(INDEX(Gabarito!$D:$D,MATCH($A68,Gabarito!$A:$A,0)))),"confere","diverge")))</f>
        <v/>
      </c>
      <c r="F68">
        <f>IF('Revisor A'!M68&lt;&gt;"",'Revisor A'!M68,IF('Revisor A'!L68="","não preenchido",IF(LOWER(TRIM('Revisor A'!L68))=LOWER(TRIM(INDEX(Gabarito!$E:$E,MATCH($A68,Gabarito!$A:$A,0)))),"confere","diverge")))</f>
        <v/>
      </c>
      <c r="G68">
        <f>IF('Revisor A'!O68&lt;&gt;"",'Revisor A'!O68,IF('Revisor A'!N68="","não preenchido",IF(LOWER(TRIM('Revisor A'!N68))=LOWER(TRIM(INDEX(Gabarito!$F:$F,MATCH($A68,Gabarito!$A:$A,0)))),"confere","diverge")))</f>
        <v/>
      </c>
      <c r="H68">
        <f>IF('Revisor A'!Q68&lt;&gt;"",'Revisor A'!Q68,IF('Revisor A'!P68="","não preenchido",IF(LOWER(TRIM('Revisor A'!P68))=LOWER(TRIM(INDEX(Gabarito!$G:$G,MATCH($A68,Gabarito!$A:$A,0)))),"confere","diverge")))</f>
        <v/>
      </c>
      <c r="I68">
        <f>IF('Revisor A'!S68&lt;&gt;"",'Revisor A'!S68,IF('Revisor A'!R68="","não preenchido",IF(LOWER(TRIM('Revisor A'!R68))=LOWER(TRIM(INDEX(Gabarito!$H:$H,MATCH($A68,Gabarito!$A:$A,0)))),"confere","diverge")))</f>
        <v/>
      </c>
      <c r="J68">
        <f>IF('Revisor A'!U68&lt;&gt;"",'Revisor A'!U68,IF('Revisor A'!T68="","não preenchido",IF(LOWER(TRIM('Revisor A'!T68))=LOWER(TRIM(INDEX(Gabarito!$I:$I,MATCH($A68,Gabarito!$A:$A,0)))),"confere","diverge")))</f>
        <v/>
      </c>
      <c r="K68">
        <f>IF('Revisor A'!W68&lt;&gt;"",'Revisor A'!W68,IF('Revisor A'!V68="","não preenchido",IF(LOWER(TRIM('Revisor A'!V68))=LOWER(TRIM(INDEX(Gabarito!$J:$J,MATCH($A68,Gabarito!$A:$A,0)))),"confere","diverge")))</f>
        <v/>
      </c>
      <c r="L68">
        <f>IF('Revisor A'!AB68="","não preenchido",'Revisor A'!AB68)</f>
        <v/>
      </c>
      <c r="M68">
        <f>IF('Revisor A'!AC68="","não preenchido",'Revisor A'!AC68)</f>
        <v/>
      </c>
      <c r="N68">
        <f>COUNTIF(C68:K68,"diverge")</f>
        <v/>
      </c>
      <c r="O68">
        <f>IF(COUNTIF(C68:K68,"não preenchido")=9,"não preenchido",IF(N68&gt;0,"diverge","confere"))</f>
        <v/>
      </c>
    </row>
    <row r="69">
      <c r="A69">
        <f>'Revisor A'!A69</f>
        <v/>
      </c>
      <c r="B69">
        <f>IFERROR(INDEX(Gabarito!$M:$M,MATCH($A69,Gabarito!$A:$A,0)),"")</f>
        <v/>
      </c>
      <c r="C69">
        <f>IF('Revisor A'!G69&lt;&gt;"",'Revisor A'!G69,IF('Revisor A'!F69="","não preenchido",IF(ABS(N('Revisor A'!F69)-N(INDEX(Gabarito!$B:$B,MATCH($A69,Gabarito!$A:$A,0))))&lt;=1,"confere","diverge")))</f>
        <v/>
      </c>
      <c r="D69">
        <f>IF('Revisor A'!I69&lt;&gt;"",'Revisor A'!I69,IF('Revisor A'!H69="","não preenchido",IF(ABS(N('Revisor A'!H69)-N(INDEX(Gabarito!$C:$C,MATCH($A69,Gabarito!$A:$A,0))))&lt;=1,"confere","diverge")))</f>
        <v/>
      </c>
      <c r="E69">
        <f>IF('Revisor A'!K69&lt;&gt;"",'Revisor A'!K69,IF('Revisor A'!J69="","não preenchido",IF(LOWER(TRIM('Revisor A'!J69))=LOWER(TRIM(INDEX(Gabarito!$D:$D,MATCH($A69,Gabarito!$A:$A,0)))),"confere","diverge")))</f>
        <v/>
      </c>
      <c r="F69">
        <f>IF('Revisor A'!M69&lt;&gt;"",'Revisor A'!M69,IF('Revisor A'!L69="","não preenchido",IF(LOWER(TRIM('Revisor A'!L69))=LOWER(TRIM(INDEX(Gabarito!$E:$E,MATCH($A69,Gabarito!$A:$A,0)))),"confere","diverge")))</f>
        <v/>
      </c>
      <c r="G69">
        <f>IF('Revisor A'!O69&lt;&gt;"",'Revisor A'!O69,IF('Revisor A'!N69="","não preenchido",IF(LOWER(TRIM('Revisor A'!N69))=LOWER(TRIM(INDEX(Gabarito!$F:$F,MATCH($A69,Gabarito!$A:$A,0)))),"confere","diverge")))</f>
        <v/>
      </c>
      <c r="H69">
        <f>IF('Revisor A'!Q69&lt;&gt;"",'Revisor A'!Q69,IF('Revisor A'!P69="","não preenchido",IF(LOWER(TRIM('Revisor A'!P69))=LOWER(TRIM(INDEX(Gabarito!$G:$G,MATCH($A69,Gabarito!$A:$A,0)))),"confere","diverge")))</f>
        <v/>
      </c>
      <c r="I69">
        <f>IF('Revisor A'!S69&lt;&gt;"",'Revisor A'!S69,IF('Revisor A'!R69="","não preenchido",IF(LOWER(TRIM('Revisor A'!R69))=LOWER(TRIM(INDEX(Gabarito!$H:$H,MATCH($A69,Gabarito!$A:$A,0)))),"confere","diverge")))</f>
        <v/>
      </c>
      <c r="J69">
        <f>IF('Revisor A'!U69&lt;&gt;"",'Revisor A'!U69,IF('Revisor A'!T69="","não preenchido",IF(LOWER(TRIM('Revisor A'!T69))=LOWER(TRIM(INDEX(Gabarito!$I:$I,MATCH($A69,Gabarito!$A:$A,0)))),"confere","diverge")))</f>
        <v/>
      </c>
      <c r="K69">
        <f>IF('Revisor A'!W69&lt;&gt;"",'Revisor A'!W69,IF('Revisor A'!V69="","não preenchido",IF(LOWER(TRIM('Revisor A'!V69))=LOWER(TRIM(INDEX(Gabarito!$J:$J,MATCH($A69,Gabarito!$A:$A,0)))),"confere","diverge")))</f>
        <v/>
      </c>
      <c r="L69">
        <f>IF('Revisor A'!AB69="","não preenchido",'Revisor A'!AB69)</f>
        <v/>
      </c>
      <c r="M69">
        <f>IF('Revisor A'!AC69="","não preenchido",'Revisor A'!AC69)</f>
        <v/>
      </c>
      <c r="N69">
        <f>COUNTIF(C69:K69,"diverge")</f>
        <v/>
      </c>
      <c r="O69">
        <f>IF(COUNTIF(C69:K69,"não preenchido")=9,"não preenchido",IF(N69&gt;0,"diverge","confere"))</f>
        <v/>
      </c>
    </row>
    <row r="70">
      <c r="A70">
        <f>'Revisor A'!A70</f>
        <v/>
      </c>
      <c r="B70">
        <f>IFERROR(INDEX(Gabarito!$M:$M,MATCH($A70,Gabarito!$A:$A,0)),"")</f>
        <v/>
      </c>
      <c r="C70">
        <f>IF('Revisor A'!G70&lt;&gt;"",'Revisor A'!G70,IF('Revisor A'!F70="","não preenchido",IF(ABS(N('Revisor A'!F70)-N(INDEX(Gabarito!$B:$B,MATCH($A70,Gabarito!$A:$A,0))))&lt;=1,"confere","diverge")))</f>
        <v/>
      </c>
      <c r="D70">
        <f>IF('Revisor A'!I70&lt;&gt;"",'Revisor A'!I70,IF('Revisor A'!H70="","não preenchido",IF(ABS(N('Revisor A'!H70)-N(INDEX(Gabarito!$C:$C,MATCH($A70,Gabarito!$A:$A,0))))&lt;=1,"confere","diverge")))</f>
        <v/>
      </c>
      <c r="E70">
        <f>IF('Revisor A'!K70&lt;&gt;"",'Revisor A'!K70,IF('Revisor A'!J70="","não preenchido",IF(LOWER(TRIM('Revisor A'!J70))=LOWER(TRIM(INDEX(Gabarito!$D:$D,MATCH($A70,Gabarito!$A:$A,0)))),"confere","diverge")))</f>
        <v/>
      </c>
      <c r="F70">
        <f>IF('Revisor A'!M70&lt;&gt;"",'Revisor A'!M70,IF('Revisor A'!L70="","não preenchido",IF(LOWER(TRIM('Revisor A'!L70))=LOWER(TRIM(INDEX(Gabarito!$E:$E,MATCH($A70,Gabarito!$A:$A,0)))),"confere","diverge")))</f>
        <v/>
      </c>
      <c r="G70">
        <f>IF('Revisor A'!O70&lt;&gt;"",'Revisor A'!O70,IF('Revisor A'!N70="","não preenchido",IF(LOWER(TRIM('Revisor A'!N70))=LOWER(TRIM(INDEX(Gabarito!$F:$F,MATCH($A70,Gabarito!$A:$A,0)))),"confere","diverge")))</f>
        <v/>
      </c>
      <c r="H70">
        <f>IF('Revisor A'!Q70&lt;&gt;"",'Revisor A'!Q70,IF('Revisor A'!P70="","não preenchido",IF(LOWER(TRIM('Revisor A'!P70))=LOWER(TRIM(INDEX(Gabarito!$G:$G,MATCH($A70,Gabarito!$A:$A,0)))),"confere","diverge")))</f>
        <v/>
      </c>
      <c r="I70">
        <f>IF('Revisor A'!S70&lt;&gt;"",'Revisor A'!S70,IF('Revisor A'!R70="","não preenchido",IF(LOWER(TRIM('Revisor A'!R70))=LOWER(TRIM(INDEX(Gabarito!$H:$H,MATCH($A70,Gabarito!$A:$A,0)))),"confere","diverge")))</f>
        <v/>
      </c>
      <c r="J70">
        <f>IF('Revisor A'!U70&lt;&gt;"",'Revisor A'!U70,IF('Revisor A'!T70="","não preenchido",IF(LOWER(TRIM('Revisor A'!T70))=LOWER(TRIM(INDEX(Gabarito!$I:$I,MATCH($A70,Gabarito!$A:$A,0)))),"confere","diverge")))</f>
        <v/>
      </c>
      <c r="K70">
        <f>IF('Revisor A'!W70&lt;&gt;"",'Revisor A'!W70,IF('Revisor A'!V70="","não preenchido",IF(LOWER(TRIM('Revisor A'!V70))=LOWER(TRIM(INDEX(Gabarito!$J:$J,MATCH($A70,Gabarito!$A:$A,0)))),"confere","diverge")))</f>
        <v/>
      </c>
      <c r="L70">
        <f>IF('Revisor A'!AB70="","não preenchido",'Revisor A'!AB70)</f>
        <v/>
      </c>
      <c r="M70">
        <f>IF('Revisor A'!AC70="","não preenchido",'Revisor A'!AC70)</f>
        <v/>
      </c>
      <c r="N70">
        <f>COUNTIF(C70:K70,"diverge")</f>
        <v/>
      </c>
      <c r="O70">
        <f>IF(COUNTIF(C70:K70,"não preenchido")=9,"não preenchido",IF(N70&gt;0,"diverge","confere"))</f>
        <v/>
      </c>
    </row>
    <row r="71">
      <c r="A71">
        <f>'Revisor A'!A71</f>
        <v/>
      </c>
      <c r="B71">
        <f>IFERROR(INDEX(Gabarito!$M:$M,MATCH($A71,Gabarito!$A:$A,0)),"")</f>
        <v/>
      </c>
      <c r="C71">
        <f>IF('Revisor A'!G71&lt;&gt;"",'Revisor A'!G71,IF('Revisor A'!F71="","não preenchido",IF(ABS(N('Revisor A'!F71)-N(INDEX(Gabarito!$B:$B,MATCH($A71,Gabarito!$A:$A,0))))&lt;=1,"confere","diverge")))</f>
        <v/>
      </c>
      <c r="D71">
        <f>IF('Revisor A'!I71&lt;&gt;"",'Revisor A'!I71,IF('Revisor A'!H71="","não preenchido",IF(ABS(N('Revisor A'!H71)-N(INDEX(Gabarito!$C:$C,MATCH($A71,Gabarito!$A:$A,0))))&lt;=1,"confere","diverge")))</f>
        <v/>
      </c>
      <c r="E71">
        <f>IF('Revisor A'!K71&lt;&gt;"",'Revisor A'!K71,IF('Revisor A'!J71="","não preenchido",IF(LOWER(TRIM('Revisor A'!J71))=LOWER(TRIM(INDEX(Gabarito!$D:$D,MATCH($A71,Gabarito!$A:$A,0)))),"confere","diverge")))</f>
        <v/>
      </c>
      <c r="F71">
        <f>IF('Revisor A'!M71&lt;&gt;"",'Revisor A'!M71,IF('Revisor A'!L71="","não preenchido",IF(LOWER(TRIM('Revisor A'!L71))=LOWER(TRIM(INDEX(Gabarito!$E:$E,MATCH($A71,Gabarito!$A:$A,0)))),"confere","diverge")))</f>
        <v/>
      </c>
      <c r="G71">
        <f>IF('Revisor A'!O71&lt;&gt;"",'Revisor A'!O71,IF('Revisor A'!N71="","não preenchido",IF(LOWER(TRIM('Revisor A'!N71))=LOWER(TRIM(INDEX(Gabarito!$F:$F,MATCH($A71,Gabarito!$A:$A,0)))),"confere","diverge")))</f>
        <v/>
      </c>
      <c r="H71">
        <f>IF('Revisor A'!Q71&lt;&gt;"",'Revisor A'!Q71,IF('Revisor A'!P71="","não preenchido",IF(LOWER(TRIM('Revisor A'!P71))=LOWER(TRIM(INDEX(Gabarito!$G:$G,MATCH($A71,Gabarito!$A:$A,0)))),"confere","diverge")))</f>
        <v/>
      </c>
      <c r="I71">
        <f>IF('Revisor A'!S71&lt;&gt;"",'Revisor A'!S71,IF('Revisor A'!R71="","não preenchido",IF(LOWER(TRIM('Revisor A'!R71))=LOWER(TRIM(INDEX(Gabarito!$H:$H,MATCH($A71,Gabarito!$A:$A,0)))),"confere","diverge")))</f>
        <v/>
      </c>
      <c r="J71">
        <f>IF('Revisor A'!U71&lt;&gt;"",'Revisor A'!U71,IF('Revisor A'!T71="","não preenchido",IF(LOWER(TRIM('Revisor A'!T71))=LOWER(TRIM(INDEX(Gabarito!$I:$I,MATCH($A71,Gabarito!$A:$A,0)))),"confere","diverge")))</f>
        <v/>
      </c>
      <c r="K71">
        <f>IF('Revisor A'!W71&lt;&gt;"",'Revisor A'!W71,IF('Revisor A'!V71="","não preenchido",IF(LOWER(TRIM('Revisor A'!V71))=LOWER(TRIM(INDEX(Gabarito!$J:$J,MATCH($A71,Gabarito!$A:$A,0)))),"confere","diverge")))</f>
        <v/>
      </c>
      <c r="L71">
        <f>IF('Revisor A'!AB71="","não preenchido",'Revisor A'!AB71)</f>
        <v/>
      </c>
      <c r="M71">
        <f>IF('Revisor A'!AC71="","não preenchido",'Revisor A'!AC71)</f>
        <v/>
      </c>
      <c r="N71">
        <f>COUNTIF(C71:K71,"diverge")</f>
        <v/>
      </c>
      <c r="O71">
        <f>IF(COUNTIF(C71:K71,"não preenchido")=9,"não preenchido",IF(N71&gt;0,"diverge","confere"))</f>
        <v/>
      </c>
    </row>
    <row r="72">
      <c r="A72">
        <f>'Revisor A'!A72</f>
        <v/>
      </c>
      <c r="B72">
        <f>IFERROR(INDEX(Gabarito!$M:$M,MATCH($A72,Gabarito!$A:$A,0)),"")</f>
        <v/>
      </c>
      <c r="C72">
        <f>IF('Revisor A'!G72&lt;&gt;"",'Revisor A'!G72,IF('Revisor A'!F72="","não preenchido",IF(ABS(N('Revisor A'!F72)-N(INDEX(Gabarito!$B:$B,MATCH($A72,Gabarito!$A:$A,0))))&lt;=1,"confere","diverge")))</f>
        <v/>
      </c>
      <c r="D72">
        <f>IF('Revisor A'!I72&lt;&gt;"",'Revisor A'!I72,IF('Revisor A'!H72="","não preenchido",IF(ABS(N('Revisor A'!H72)-N(INDEX(Gabarito!$C:$C,MATCH($A72,Gabarito!$A:$A,0))))&lt;=1,"confere","diverge")))</f>
        <v/>
      </c>
      <c r="E72">
        <f>IF('Revisor A'!K72&lt;&gt;"",'Revisor A'!K72,IF('Revisor A'!J72="","não preenchido",IF(LOWER(TRIM('Revisor A'!J72))=LOWER(TRIM(INDEX(Gabarito!$D:$D,MATCH($A72,Gabarito!$A:$A,0)))),"confere","diverge")))</f>
        <v/>
      </c>
      <c r="F72">
        <f>IF('Revisor A'!M72&lt;&gt;"",'Revisor A'!M72,IF('Revisor A'!L72="","não preenchido",IF(LOWER(TRIM('Revisor A'!L72))=LOWER(TRIM(INDEX(Gabarito!$E:$E,MATCH($A72,Gabarito!$A:$A,0)))),"confere","diverge")))</f>
        <v/>
      </c>
      <c r="G72">
        <f>IF('Revisor A'!O72&lt;&gt;"",'Revisor A'!O72,IF('Revisor A'!N72="","não preenchido",IF(LOWER(TRIM('Revisor A'!N72))=LOWER(TRIM(INDEX(Gabarito!$F:$F,MATCH($A72,Gabarito!$A:$A,0)))),"confere","diverge")))</f>
        <v/>
      </c>
      <c r="H72">
        <f>IF('Revisor A'!Q72&lt;&gt;"",'Revisor A'!Q72,IF('Revisor A'!P72="","não preenchido",IF(LOWER(TRIM('Revisor A'!P72))=LOWER(TRIM(INDEX(Gabarito!$G:$G,MATCH($A72,Gabarito!$A:$A,0)))),"confere","diverge")))</f>
        <v/>
      </c>
      <c r="I72">
        <f>IF('Revisor A'!S72&lt;&gt;"",'Revisor A'!S72,IF('Revisor A'!R72="","não preenchido",IF(LOWER(TRIM('Revisor A'!R72))=LOWER(TRIM(INDEX(Gabarito!$H:$H,MATCH($A72,Gabarito!$A:$A,0)))),"confere","diverge")))</f>
        <v/>
      </c>
      <c r="J72">
        <f>IF('Revisor A'!U72&lt;&gt;"",'Revisor A'!U72,IF('Revisor A'!T72="","não preenchido",IF(LOWER(TRIM('Revisor A'!T72))=LOWER(TRIM(INDEX(Gabarito!$I:$I,MATCH($A72,Gabarito!$A:$A,0)))),"confere","diverge")))</f>
        <v/>
      </c>
      <c r="K72">
        <f>IF('Revisor A'!W72&lt;&gt;"",'Revisor A'!W72,IF('Revisor A'!V72="","não preenchido",IF(LOWER(TRIM('Revisor A'!V72))=LOWER(TRIM(INDEX(Gabarito!$J:$J,MATCH($A72,Gabarito!$A:$A,0)))),"confere","diverge")))</f>
        <v/>
      </c>
      <c r="L72">
        <f>IF('Revisor A'!AB72="","não preenchido",'Revisor A'!AB72)</f>
        <v/>
      </c>
      <c r="M72">
        <f>IF('Revisor A'!AC72="","não preenchido",'Revisor A'!AC72)</f>
        <v/>
      </c>
      <c r="N72">
        <f>COUNTIF(C72:K72,"diverge")</f>
        <v/>
      </c>
      <c r="O72">
        <f>IF(COUNTIF(C72:K72,"não preenchido")=9,"não preenchido",IF(N72&gt;0,"diverge","confere"))</f>
        <v/>
      </c>
    </row>
    <row r="73">
      <c r="A73">
        <f>'Revisor A'!A73</f>
        <v/>
      </c>
      <c r="B73">
        <f>IFERROR(INDEX(Gabarito!$M:$M,MATCH($A73,Gabarito!$A:$A,0)),"")</f>
        <v/>
      </c>
      <c r="C73">
        <f>IF('Revisor A'!G73&lt;&gt;"",'Revisor A'!G73,IF('Revisor A'!F73="","não preenchido",IF(ABS(N('Revisor A'!F73)-N(INDEX(Gabarito!$B:$B,MATCH($A73,Gabarito!$A:$A,0))))&lt;=1,"confere","diverge")))</f>
        <v/>
      </c>
      <c r="D73">
        <f>IF('Revisor A'!I73&lt;&gt;"",'Revisor A'!I73,IF('Revisor A'!H73="","não preenchido",IF(ABS(N('Revisor A'!H73)-N(INDEX(Gabarito!$C:$C,MATCH($A73,Gabarito!$A:$A,0))))&lt;=1,"confere","diverge")))</f>
        <v/>
      </c>
      <c r="E73">
        <f>IF('Revisor A'!K73&lt;&gt;"",'Revisor A'!K73,IF('Revisor A'!J73="","não preenchido",IF(LOWER(TRIM('Revisor A'!J73))=LOWER(TRIM(INDEX(Gabarito!$D:$D,MATCH($A73,Gabarito!$A:$A,0)))),"confere","diverge")))</f>
        <v/>
      </c>
      <c r="F73">
        <f>IF('Revisor A'!M73&lt;&gt;"",'Revisor A'!M73,IF('Revisor A'!L73="","não preenchido",IF(LOWER(TRIM('Revisor A'!L73))=LOWER(TRIM(INDEX(Gabarito!$E:$E,MATCH($A73,Gabarito!$A:$A,0)))),"confere","diverge")))</f>
        <v/>
      </c>
      <c r="G73">
        <f>IF('Revisor A'!O73&lt;&gt;"",'Revisor A'!O73,IF('Revisor A'!N73="","não preenchido",IF(LOWER(TRIM('Revisor A'!N73))=LOWER(TRIM(INDEX(Gabarito!$F:$F,MATCH($A73,Gabarito!$A:$A,0)))),"confere","diverge")))</f>
        <v/>
      </c>
      <c r="H73">
        <f>IF('Revisor A'!Q73&lt;&gt;"",'Revisor A'!Q73,IF('Revisor A'!P73="","não preenchido",IF(LOWER(TRIM('Revisor A'!P73))=LOWER(TRIM(INDEX(Gabarito!$G:$G,MATCH($A73,Gabarito!$A:$A,0)))),"confere","diverge")))</f>
        <v/>
      </c>
      <c r="I73">
        <f>IF('Revisor A'!S73&lt;&gt;"",'Revisor A'!S73,IF('Revisor A'!R73="","não preenchido",IF(LOWER(TRIM('Revisor A'!R73))=LOWER(TRIM(INDEX(Gabarito!$H:$H,MATCH($A73,Gabarito!$A:$A,0)))),"confere","diverge")))</f>
        <v/>
      </c>
      <c r="J73">
        <f>IF('Revisor A'!U73&lt;&gt;"",'Revisor A'!U73,IF('Revisor A'!T73="","não preenchido",IF(LOWER(TRIM('Revisor A'!T73))=LOWER(TRIM(INDEX(Gabarito!$I:$I,MATCH($A73,Gabarito!$A:$A,0)))),"confere","diverge")))</f>
        <v/>
      </c>
      <c r="K73">
        <f>IF('Revisor A'!W73&lt;&gt;"",'Revisor A'!W73,IF('Revisor A'!V73="","não preenchido",IF(LOWER(TRIM('Revisor A'!V73))=LOWER(TRIM(INDEX(Gabarito!$J:$J,MATCH($A73,Gabarito!$A:$A,0)))),"confere","diverge")))</f>
        <v/>
      </c>
      <c r="L73">
        <f>IF('Revisor A'!AB73="","não preenchido",'Revisor A'!AB73)</f>
        <v/>
      </c>
      <c r="M73">
        <f>IF('Revisor A'!AC73="","não preenchido",'Revisor A'!AC73)</f>
        <v/>
      </c>
      <c r="N73">
        <f>COUNTIF(C73:K73,"diverge")</f>
        <v/>
      </c>
      <c r="O73">
        <f>IF(COUNTIF(C73:K73,"não preenchido")=9,"não preenchido",IF(N73&gt;0,"diverge","confere"))</f>
        <v/>
      </c>
    </row>
    <row r="74">
      <c r="A74">
        <f>'Revisor A'!A74</f>
        <v/>
      </c>
      <c r="B74">
        <f>IFERROR(INDEX(Gabarito!$M:$M,MATCH($A74,Gabarito!$A:$A,0)),"")</f>
        <v/>
      </c>
      <c r="C74">
        <f>IF('Revisor A'!G74&lt;&gt;"",'Revisor A'!G74,IF('Revisor A'!F74="","não preenchido",IF(ABS(N('Revisor A'!F74)-N(INDEX(Gabarito!$B:$B,MATCH($A74,Gabarito!$A:$A,0))))&lt;=1,"confere","diverge")))</f>
        <v/>
      </c>
      <c r="D74">
        <f>IF('Revisor A'!I74&lt;&gt;"",'Revisor A'!I74,IF('Revisor A'!H74="","não preenchido",IF(ABS(N('Revisor A'!H74)-N(INDEX(Gabarito!$C:$C,MATCH($A74,Gabarito!$A:$A,0))))&lt;=1,"confere","diverge")))</f>
        <v/>
      </c>
      <c r="E74">
        <f>IF('Revisor A'!K74&lt;&gt;"",'Revisor A'!K74,IF('Revisor A'!J74="","não preenchido",IF(LOWER(TRIM('Revisor A'!J74))=LOWER(TRIM(INDEX(Gabarito!$D:$D,MATCH($A74,Gabarito!$A:$A,0)))),"confere","diverge")))</f>
        <v/>
      </c>
      <c r="F74">
        <f>IF('Revisor A'!M74&lt;&gt;"",'Revisor A'!M74,IF('Revisor A'!L74="","não preenchido",IF(LOWER(TRIM('Revisor A'!L74))=LOWER(TRIM(INDEX(Gabarito!$E:$E,MATCH($A74,Gabarito!$A:$A,0)))),"confere","diverge")))</f>
        <v/>
      </c>
      <c r="G74">
        <f>IF('Revisor A'!O74&lt;&gt;"",'Revisor A'!O74,IF('Revisor A'!N74="","não preenchido",IF(LOWER(TRIM('Revisor A'!N74))=LOWER(TRIM(INDEX(Gabarito!$F:$F,MATCH($A74,Gabarito!$A:$A,0)))),"confere","diverge")))</f>
        <v/>
      </c>
      <c r="H74">
        <f>IF('Revisor A'!Q74&lt;&gt;"",'Revisor A'!Q74,IF('Revisor A'!P74="","não preenchido",IF(LOWER(TRIM('Revisor A'!P74))=LOWER(TRIM(INDEX(Gabarito!$G:$G,MATCH($A74,Gabarito!$A:$A,0)))),"confere","diverge")))</f>
        <v/>
      </c>
      <c r="I74">
        <f>IF('Revisor A'!S74&lt;&gt;"",'Revisor A'!S74,IF('Revisor A'!R74="","não preenchido",IF(LOWER(TRIM('Revisor A'!R74))=LOWER(TRIM(INDEX(Gabarito!$H:$H,MATCH($A74,Gabarito!$A:$A,0)))),"confere","diverge")))</f>
        <v/>
      </c>
      <c r="J74">
        <f>IF('Revisor A'!U74&lt;&gt;"",'Revisor A'!U74,IF('Revisor A'!T74="","não preenchido",IF(LOWER(TRIM('Revisor A'!T74))=LOWER(TRIM(INDEX(Gabarito!$I:$I,MATCH($A74,Gabarito!$A:$A,0)))),"confere","diverge")))</f>
        <v/>
      </c>
      <c r="K74">
        <f>IF('Revisor A'!W74&lt;&gt;"",'Revisor A'!W74,IF('Revisor A'!V74="","não preenchido",IF(LOWER(TRIM('Revisor A'!V74))=LOWER(TRIM(INDEX(Gabarito!$J:$J,MATCH($A74,Gabarito!$A:$A,0)))),"confere","diverge")))</f>
        <v/>
      </c>
      <c r="L74">
        <f>IF('Revisor A'!AB74="","não preenchido",'Revisor A'!AB74)</f>
        <v/>
      </c>
      <c r="M74">
        <f>IF('Revisor A'!AC74="","não preenchido",'Revisor A'!AC74)</f>
        <v/>
      </c>
      <c r="N74">
        <f>COUNTIF(C74:K74,"diverge")</f>
        <v/>
      </c>
      <c r="O74">
        <f>IF(COUNTIF(C74:K74,"não preenchido")=9,"não preenchido",IF(N74&gt;0,"diverge","confere"))</f>
        <v/>
      </c>
    </row>
    <row r="75">
      <c r="A75">
        <f>'Revisor A'!A75</f>
        <v/>
      </c>
      <c r="B75">
        <f>IFERROR(INDEX(Gabarito!$M:$M,MATCH($A75,Gabarito!$A:$A,0)),"")</f>
        <v/>
      </c>
      <c r="C75">
        <f>IF('Revisor A'!G75&lt;&gt;"",'Revisor A'!G75,IF('Revisor A'!F75="","não preenchido",IF(ABS(N('Revisor A'!F75)-N(INDEX(Gabarito!$B:$B,MATCH($A75,Gabarito!$A:$A,0))))&lt;=1,"confere","diverge")))</f>
        <v/>
      </c>
      <c r="D75">
        <f>IF('Revisor A'!I75&lt;&gt;"",'Revisor A'!I75,IF('Revisor A'!H75="","não preenchido",IF(ABS(N('Revisor A'!H75)-N(INDEX(Gabarito!$C:$C,MATCH($A75,Gabarito!$A:$A,0))))&lt;=1,"confere","diverge")))</f>
        <v/>
      </c>
      <c r="E75">
        <f>IF('Revisor A'!K75&lt;&gt;"",'Revisor A'!K75,IF('Revisor A'!J75="","não preenchido",IF(LOWER(TRIM('Revisor A'!J75))=LOWER(TRIM(INDEX(Gabarito!$D:$D,MATCH($A75,Gabarito!$A:$A,0)))),"confere","diverge")))</f>
        <v/>
      </c>
      <c r="F75">
        <f>IF('Revisor A'!M75&lt;&gt;"",'Revisor A'!M75,IF('Revisor A'!L75="","não preenchido",IF(LOWER(TRIM('Revisor A'!L75))=LOWER(TRIM(INDEX(Gabarito!$E:$E,MATCH($A75,Gabarito!$A:$A,0)))),"confere","diverge")))</f>
        <v/>
      </c>
      <c r="G75">
        <f>IF('Revisor A'!O75&lt;&gt;"",'Revisor A'!O75,IF('Revisor A'!N75="","não preenchido",IF(LOWER(TRIM('Revisor A'!N75))=LOWER(TRIM(INDEX(Gabarito!$F:$F,MATCH($A75,Gabarito!$A:$A,0)))),"confere","diverge")))</f>
        <v/>
      </c>
      <c r="H75">
        <f>IF('Revisor A'!Q75&lt;&gt;"",'Revisor A'!Q75,IF('Revisor A'!P75="","não preenchido",IF(LOWER(TRIM('Revisor A'!P75))=LOWER(TRIM(INDEX(Gabarito!$G:$G,MATCH($A75,Gabarito!$A:$A,0)))),"confere","diverge")))</f>
        <v/>
      </c>
      <c r="I75">
        <f>IF('Revisor A'!S75&lt;&gt;"",'Revisor A'!S75,IF('Revisor A'!R75="","não preenchido",IF(LOWER(TRIM('Revisor A'!R75))=LOWER(TRIM(INDEX(Gabarito!$H:$H,MATCH($A75,Gabarito!$A:$A,0)))),"confere","diverge")))</f>
        <v/>
      </c>
      <c r="J75">
        <f>IF('Revisor A'!U75&lt;&gt;"",'Revisor A'!U75,IF('Revisor A'!T75="","não preenchido",IF(LOWER(TRIM('Revisor A'!T75))=LOWER(TRIM(INDEX(Gabarito!$I:$I,MATCH($A75,Gabarito!$A:$A,0)))),"confere","diverge")))</f>
        <v/>
      </c>
      <c r="K75">
        <f>IF('Revisor A'!W75&lt;&gt;"",'Revisor A'!W75,IF('Revisor A'!V75="","não preenchido",IF(LOWER(TRIM('Revisor A'!V75))=LOWER(TRIM(INDEX(Gabarito!$J:$J,MATCH($A75,Gabarito!$A:$A,0)))),"confere","diverge")))</f>
        <v/>
      </c>
      <c r="L75">
        <f>IF('Revisor A'!AB75="","não preenchido",'Revisor A'!AB75)</f>
        <v/>
      </c>
      <c r="M75">
        <f>IF('Revisor A'!AC75="","não preenchido",'Revisor A'!AC75)</f>
        <v/>
      </c>
      <c r="N75">
        <f>COUNTIF(C75:K75,"diverge")</f>
        <v/>
      </c>
      <c r="O75">
        <f>IF(COUNTIF(C75:K75,"não preenchido")=9,"não preenchido",IF(N75&gt;0,"diverge","confere"))</f>
        <v/>
      </c>
    </row>
    <row r="76">
      <c r="A76">
        <f>'Revisor A'!A76</f>
        <v/>
      </c>
      <c r="B76">
        <f>IFERROR(INDEX(Gabarito!$M:$M,MATCH($A76,Gabarito!$A:$A,0)),"")</f>
        <v/>
      </c>
      <c r="C76">
        <f>IF('Revisor A'!G76&lt;&gt;"",'Revisor A'!G76,IF('Revisor A'!F76="","não preenchido",IF(ABS(N('Revisor A'!F76)-N(INDEX(Gabarito!$B:$B,MATCH($A76,Gabarito!$A:$A,0))))&lt;=1,"confere","diverge")))</f>
        <v/>
      </c>
      <c r="D76">
        <f>IF('Revisor A'!I76&lt;&gt;"",'Revisor A'!I76,IF('Revisor A'!H76="","não preenchido",IF(ABS(N('Revisor A'!H76)-N(INDEX(Gabarito!$C:$C,MATCH($A76,Gabarito!$A:$A,0))))&lt;=1,"confere","diverge")))</f>
        <v/>
      </c>
      <c r="E76">
        <f>IF('Revisor A'!K76&lt;&gt;"",'Revisor A'!K76,IF('Revisor A'!J76="","não preenchido",IF(LOWER(TRIM('Revisor A'!J76))=LOWER(TRIM(INDEX(Gabarito!$D:$D,MATCH($A76,Gabarito!$A:$A,0)))),"confere","diverge")))</f>
        <v/>
      </c>
      <c r="F76">
        <f>IF('Revisor A'!M76&lt;&gt;"",'Revisor A'!M76,IF('Revisor A'!L76="","não preenchido",IF(LOWER(TRIM('Revisor A'!L76))=LOWER(TRIM(INDEX(Gabarito!$E:$E,MATCH($A76,Gabarito!$A:$A,0)))),"confere","diverge")))</f>
        <v/>
      </c>
      <c r="G76">
        <f>IF('Revisor A'!O76&lt;&gt;"",'Revisor A'!O76,IF('Revisor A'!N76="","não preenchido",IF(LOWER(TRIM('Revisor A'!N76))=LOWER(TRIM(INDEX(Gabarito!$F:$F,MATCH($A76,Gabarito!$A:$A,0)))),"confere","diverge")))</f>
        <v/>
      </c>
      <c r="H76">
        <f>IF('Revisor A'!Q76&lt;&gt;"",'Revisor A'!Q76,IF('Revisor A'!P76="","não preenchido",IF(LOWER(TRIM('Revisor A'!P76))=LOWER(TRIM(INDEX(Gabarito!$G:$G,MATCH($A76,Gabarito!$A:$A,0)))),"confere","diverge")))</f>
        <v/>
      </c>
      <c r="I76">
        <f>IF('Revisor A'!S76&lt;&gt;"",'Revisor A'!S76,IF('Revisor A'!R76="","não preenchido",IF(LOWER(TRIM('Revisor A'!R76))=LOWER(TRIM(INDEX(Gabarito!$H:$H,MATCH($A76,Gabarito!$A:$A,0)))),"confere","diverge")))</f>
        <v/>
      </c>
      <c r="J76">
        <f>IF('Revisor A'!U76&lt;&gt;"",'Revisor A'!U76,IF('Revisor A'!T76="","não preenchido",IF(LOWER(TRIM('Revisor A'!T76))=LOWER(TRIM(INDEX(Gabarito!$I:$I,MATCH($A76,Gabarito!$A:$A,0)))),"confere","diverge")))</f>
        <v/>
      </c>
      <c r="K76">
        <f>IF('Revisor A'!W76&lt;&gt;"",'Revisor A'!W76,IF('Revisor A'!V76="","não preenchido",IF(LOWER(TRIM('Revisor A'!V76))=LOWER(TRIM(INDEX(Gabarito!$J:$J,MATCH($A76,Gabarito!$A:$A,0)))),"confere","diverge")))</f>
        <v/>
      </c>
      <c r="L76">
        <f>IF('Revisor A'!AB76="","não preenchido",'Revisor A'!AB76)</f>
        <v/>
      </c>
      <c r="M76">
        <f>IF('Revisor A'!AC76="","não preenchido",'Revisor A'!AC76)</f>
        <v/>
      </c>
      <c r="N76">
        <f>COUNTIF(C76:K76,"diverge")</f>
        <v/>
      </c>
      <c r="O76">
        <f>IF(COUNTIF(C76:K76,"não preenchido")=9,"não preenchido",IF(N76&gt;0,"diverge","confere"))</f>
        <v/>
      </c>
    </row>
    <row r="77">
      <c r="A77">
        <f>'Revisor A'!A77</f>
        <v/>
      </c>
      <c r="B77">
        <f>IFERROR(INDEX(Gabarito!$M:$M,MATCH($A77,Gabarito!$A:$A,0)),"")</f>
        <v/>
      </c>
      <c r="C77">
        <f>IF('Revisor A'!G77&lt;&gt;"",'Revisor A'!G77,IF('Revisor A'!F77="","não preenchido",IF(ABS(N('Revisor A'!F77)-N(INDEX(Gabarito!$B:$B,MATCH($A77,Gabarito!$A:$A,0))))&lt;=1,"confere","diverge")))</f>
        <v/>
      </c>
      <c r="D77">
        <f>IF('Revisor A'!I77&lt;&gt;"",'Revisor A'!I77,IF('Revisor A'!H77="","não preenchido",IF(ABS(N('Revisor A'!H77)-N(INDEX(Gabarito!$C:$C,MATCH($A77,Gabarito!$A:$A,0))))&lt;=1,"confere","diverge")))</f>
        <v/>
      </c>
      <c r="E77">
        <f>IF('Revisor A'!K77&lt;&gt;"",'Revisor A'!K77,IF('Revisor A'!J77="","não preenchido",IF(LOWER(TRIM('Revisor A'!J77))=LOWER(TRIM(INDEX(Gabarito!$D:$D,MATCH($A77,Gabarito!$A:$A,0)))),"confere","diverge")))</f>
        <v/>
      </c>
      <c r="F77">
        <f>IF('Revisor A'!M77&lt;&gt;"",'Revisor A'!M77,IF('Revisor A'!L77="","não preenchido",IF(LOWER(TRIM('Revisor A'!L77))=LOWER(TRIM(INDEX(Gabarito!$E:$E,MATCH($A77,Gabarito!$A:$A,0)))),"confere","diverge")))</f>
        <v/>
      </c>
      <c r="G77">
        <f>IF('Revisor A'!O77&lt;&gt;"",'Revisor A'!O77,IF('Revisor A'!N77="","não preenchido",IF(LOWER(TRIM('Revisor A'!N77))=LOWER(TRIM(INDEX(Gabarito!$F:$F,MATCH($A77,Gabarito!$A:$A,0)))),"confere","diverge")))</f>
        <v/>
      </c>
      <c r="H77">
        <f>IF('Revisor A'!Q77&lt;&gt;"",'Revisor A'!Q77,IF('Revisor A'!P77="","não preenchido",IF(LOWER(TRIM('Revisor A'!P77))=LOWER(TRIM(INDEX(Gabarito!$G:$G,MATCH($A77,Gabarito!$A:$A,0)))),"confere","diverge")))</f>
        <v/>
      </c>
      <c r="I77">
        <f>IF('Revisor A'!S77&lt;&gt;"",'Revisor A'!S77,IF('Revisor A'!R77="","não preenchido",IF(LOWER(TRIM('Revisor A'!R77))=LOWER(TRIM(INDEX(Gabarito!$H:$H,MATCH($A77,Gabarito!$A:$A,0)))),"confere","diverge")))</f>
        <v/>
      </c>
      <c r="J77">
        <f>IF('Revisor A'!U77&lt;&gt;"",'Revisor A'!U77,IF('Revisor A'!T77="","não preenchido",IF(LOWER(TRIM('Revisor A'!T77))=LOWER(TRIM(INDEX(Gabarito!$I:$I,MATCH($A77,Gabarito!$A:$A,0)))),"confere","diverge")))</f>
        <v/>
      </c>
      <c r="K77">
        <f>IF('Revisor A'!W77&lt;&gt;"",'Revisor A'!W77,IF('Revisor A'!V77="","não preenchido",IF(LOWER(TRIM('Revisor A'!V77))=LOWER(TRIM(INDEX(Gabarito!$J:$J,MATCH($A77,Gabarito!$A:$A,0)))),"confere","diverge")))</f>
        <v/>
      </c>
      <c r="L77">
        <f>IF('Revisor A'!AB77="","não preenchido",'Revisor A'!AB77)</f>
        <v/>
      </c>
      <c r="M77">
        <f>IF('Revisor A'!AC77="","não preenchido",'Revisor A'!AC77)</f>
        <v/>
      </c>
      <c r="N77">
        <f>COUNTIF(C77:K77,"diverge")</f>
        <v/>
      </c>
      <c r="O77">
        <f>IF(COUNTIF(C77:K77,"não preenchido")=9,"não preenchido",IF(N77&gt;0,"diverge","confere"))</f>
        <v/>
      </c>
    </row>
    <row r="78">
      <c r="A78">
        <f>'Revisor A'!A78</f>
        <v/>
      </c>
      <c r="B78">
        <f>IFERROR(INDEX(Gabarito!$M:$M,MATCH($A78,Gabarito!$A:$A,0)),"")</f>
        <v/>
      </c>
      <c r="C78">
        <f>IF('Revisor A'!G78&lt;&gt;"",'Revisor A'!G78,IF('Revisor A'!F78="","não preenchido",IF(ABS(N('Revisor A'!F78)-N(INDEX(Gabarito!$B:$B,MATCH($A78,Gabarito!$A:$A,0))))&lt;=1,"confere","diverge")))</f>
        <v/>
      </c>
      <c r="D78">
        <f>IF('Revisor A'!I78&lt;&gt;"",'Revisor A'!I78,IF('Revisor A'!H78="","não preenchido",IF(ABS(N('Revisor A'!H78)-N(INDEX(Gabarito!$C:$C,MATCH($A78,Gabarito!$A:$A,0))))&lt;=1,"confere","diverge")))</f>
        <v/>
      </c>
      <c r="E78">
        <f>IF('Revisor A'!K78&lt;&gt;"",'Revisor A'!K78,IF('Revisor A'!J78="","não preenchido",IF(LOWER(TRIM('Revisor A'!J78))=LOWER(TRIM(INDEX(Gabarito!$D:$D,MATCH($A78,Gabarito!$A:$A,0)))),"confere","diverge")))</f>
        <v/>
      </c>
      <c r="F78">
        <f>IF('Revisor A'!M78&lt;&gt;"",'Revisor A'!M78,IF('Revisor A'!L78="","não preenchido",IF(LOWER(TRIM('Revisor A'!L78))=LOWER(TRIM(INDEX(Gabarito!$E:$E,MATCH($A78,Gabarito!$A:$A,0)))),"confere","diverge")))</f>
        <v/>
      </c>
      <c r="G78">
        <f>IF('Revisor A'!O78&lt;&gt;"",'Revisor A'!O78,IF('Revisor A'!N78="","não preenchido",IF(LOWER(TRIM('Revisor A'!N78))=LOWER(TRIM(INDEX(Gabarito!$F:$F,MATCH($A78,Gabarito!$A:$A,0)))),"confere","diverge")))</f>
        <v/>
      </c>
      <c r="H78">
        <f>IF('Revisor A'!Q78&lt;&gt;"",'Revisor A'!Q78,IF('Revisor A'!P78="","não preenchido",IF(LOWER(TRIM('Revisor A'!P78))=LOWER(TRIM(INDEX(Gabarito!$G:$G,MATCH($A78,Gabarito!$A:$A,0)))),"confere","diverge")))</f>
        <v/>
      </c>
      <c r="I78">
        <f>IF('Revisor A'!S78&lt;&gt;"",'Revisor A'!S78,IF('Revisor A'!R78="","não preenchido",IF(LOWER(TRIM('Revisor A'!R78))=LOWER(TRIM(INDEX(Gabarito!$H:$H,MATCH($A78,Gabarito!$A:$A,0)))),"confere","diverge")))</f>
        <v/>
      </c>
      <c r="J78">
        <f>IF('Revisor A'!U78&lt;&gt;"",'Revisor A'!U78,IF('Revisor A'!T78="","não preenchido",IF(LOWER(TRIM('Revisor A'!T78))=LOWER(TRIM(INDEX(Gabarito!$I:$I,MATCH($A78,Gabarito!$A:$A,0)))),"confere","diverge")))</f>
        <v/>
      </c>
      <c r="K78">
        <f>IF('Revisor A'!W78&lt;&gt;"",'Revisor A'!W78,IF('Revisor A'!V78="","não preenchido",IF(LOWER(TRIM('Revisor A'!V78))=LOWER(TRIM(INDEX(Gabarito!$J:$J,MATCH($A78,Gabarito!$A:$A,0)))),"confere","diverge")))</f>
        <v/>
      </c>
      <c r="L78">
        <f>IF('Revisor A'!AB78="","não preenchido",'Revisor A'!AB78)</f>
        <v/>
      </c>
      <c r="M78">
        <f>IF('Revisor A'!AC78="","não preenchido",'Revisor A'!AC78)</f>
        <v/>
      </c>
      <c r="N78">
        <f>COUNTIF(C78:K78,"diverge")</f>
        <v/>
      </c>
      <c r="O78">
        <f>IF(COUNTIF(C78:K78,"não preenchido")=9,"não preenchido",IF(N78&gt;0,"diverge","confere"))</f>
        <v/>
      </c>
    </row>
    <row r="79">
      <c r="A79">
        <f>'Revisor A'!A79</f>
        <v/>
      </c>
      <c r="B79">
        <f>IFERROR(INDEX(Gabarito!$M:$M,MATCH($A79,Gabarito!$A:$A,0)),"")</f>
        <v/>
      </c>
      <c r="C79">
        <f>IF('Revisor A'!G79&lt;&gt;"",'Revisor A'!G79,IF('Revisor A'!F79="","não preenchido",IF(ABS(N('Revisor A'!F79)-N(INDEX(Gabarito!$B:$B,MATCH($A79,Gabarito!$A:$A,0))))&lt;=1,"confere","diverge")))</f>
        <v/>
      </c>
      <c r="D79">
        <f>IF('Revisor A'!I79&lt;&gt;"",'Revisor A'!I79,IF('Revisor A'!H79="","não preenchido",IF(ABS(N('Revisor A'!H79)-N(INDEX(Gabarito!$C:$C,MATCH($A79,Gabarito!$A:$A,0))))&lt;=1,"confere","diverge")))</f>
        <v/>
      </c>
      <c r="E79">
        <f>IF('Revisor A'!K79&lt;&gt;"",'Revisor A'!K79,IF('Revisor A'!J79="","não preenchido",IF(LOWER(TRIM('Revisor A'!J79))=LOWER(TRIM(INDEX(Gabarito!$D:$D,MATCH($A79,Gabarito!$A:$A,0)))),"confere","diverge")))</f>
        <v/>
      </c>
      <c r="F79">
        <f>IF('Revisor A'!M79&lt;&gt;"",'Revisor A'!M79,IF('Revisor A'!L79="","não preenchido",IF(LOWER(TRIM('Revisor A'!L79))=LOWER(TRIM(INDEX(Gabarito!$E:$E,MATCH($A79,Gabarito!$A:$A,0)))),"confere","diverge")))</f>
        <v/>
      </c>
      <c r="G79">
        <f>IF('Revisor A'!O79&lt;&gt;"",'Revisor A'!O79,IF('Revisor A'!N79="","não preenchido",IF(LOWER(TRIM('Revisor A'!N79))=LOWER(TRIM(INDEX(Gabarito!$F:$F,MATCH($A79,Gabarito!$A:$A,0)))),"confere","diverge")))</f>
        <v/>
      </c>
      <c r="H79">
        <f>IF('Revisor A'!Q79&lt;&gt;"",'Revisor A'!Q79,IF('Revisor A'!P79="","não preenchido",IF(LOWER(TRIM('Revisor A'!P79))=LOWER(TRIM(INDEX(Gabarito!$G:$G,MATCH($A79,Gabarito!$A:$A,0)))),"confere","diverge")))</f>
        <v/>
      </c>
      <c r="I79">
        <f>IF('Revisor A'!S79&lt;&gt;"",'Revisor A'!S79,IF('Revisor A'!R79="","não preenchido",IF(LOWER(TRIM('Revisor A'!R79))=LOWER(TRIM(INDEX(Gabarito!$H:$H,MATCH($A79,Gabarito!$A:$A,0)))),"confere","diverge")))</f>
        <v/>
      </c>
      <c r="J79">
        <f>IF('Revisor A'!U79&lt;&gt;"",'Revisor A'!U79,IF('Revisor A'!T79="","não preenchido",IF(LOWER(TRIM('Revisor A'!T79))=LOWER(TRIM(INDEX(Gabarito!$I:$I,MATCH($A79,Gabarito!$A:$A,0)))),"confere","diverge")))</f>
        <v/>
      </c>
      <c r="K79">
        <f>IF('Revisor A'!W79&lt;&gt;"",'Revisor A'!W79,IF('Revisor A'!V79="","não preenchido",IF(LOWER(TRIM('Revisor A'!V79))=LOWER(TRIM(INDEX(Gabarito!$J:$J,MATCH($A79,Gabarito!$A:$A,0)))),"confere","diverge")))</f>
        <v/>
      </c>
      <c r="L79">
        <f>IF('Revisor A'!AB79="","não preenchido",'Revisor A'!AB79)</f>
        <v/>
      </c>
      <c r="M79">
        <f>IF('Revisor A'!AC79="","não preenchido",'Revisor A'!AC79)</f>
        <v/>
      </c>
      <c r="N79">
        <f>COUNTIF(C79:K79,"diverge")</f>
        <v/>
      </c>
      <c r="O79">
        <f>IF(COUNTIF(C79:K79,"não preenchido")=9,"não preenchido",IF(N79&gt;0,"diverge","confere"))</f>
        <v/>
      </c>
    </row>
    <row r="80">
      <c r="A80">
        <f>'Revisor A'!A80</f>
        <v/>
      </c>
      <c r="B80">
        <f>IFERROR(INDEX(Gabarito!$M:$M,MATCH($A80,Gabarito!$A:$A,0)),"")</f>
        <v/>
      </c>
      <c r="C80">
        <f>IF('Revisor A'!G80&lt;&gt;"",'Revisor A'!G80,IF('Revisor A'!F80="","não preenchido",IF(ABS(N('Revisor A'!F80)-N(INDEX(Gabarito!$B:$B,MATCH($A80,Gabarito!$A:$A,0))))&lt;=1,"confere","diverge")))</f>
        <v/>
      </c>
      <c r="D80">
        <f>IF('Revisor A'!I80&lt;&gt;"",'Revisor A'!I80,IF('Revisor A'!H80="","não preenchido",IF(ABS(N('Revisor A'!H80)-N(INDEX(Gabarito!$C:$C,MATCH($A80,Gabarito!$A:$A,0))))&lt;=1,"confere","diverge")))</f>
        <v/>
      </c>
      <c r="E80">
        <f>IF('Revisor A'!K80&lt;&gt;"",'Revisor A'!K80,IF('Revisor A'!J80="","não preenchido",IF(LOWER(TRIM('Revisor A'!J80))=LOWER(TRIM(INDEX(Gabarito!$D:$D,MATCH($A80,Gabarito!$A:$A,0)))),"confere","diverge")))</f>
        <v/>
      </c>
      <c r="F80">
        <f>IF('Revisor A'!M80&lt;&gt;"",'Revisor A'!M80,IF('Revisor A'!L80="","não preenchido",IF(LOWER(TRIM('Revisor A'!L80))=LOWER(TRIM(INDEX(Gabarito!$E:$E,MATCH($A80,Gabarito!$A:$A,0)))),"confere","diverge")))</f>
        <v/>
      </c>
      <c r="G80">
        <f>IF('Revisor A'!O80&lt;&gt;"",'Revisor A'!O80,IF('Revisor A'!N80="","não preenchido",IF(LOWER(TRIM('Revisor A'!N80))=LOWER(TRIM(INDEX(Gabarito!$F:$F,MATCH($A80,Gabarito!$A:$A,0)))),"confere","diverge")))</f>
        <v/>
      </c>
      <c r="H80">
        <f>IF('Revisor A'!Q80&lt;&gt;"",'Revisor A'!Q80,IF('Revisor A'!P80="","não preenchido",IF(LOWER(TRIM('Revisor A'!P80))=LOWER(TRIM(INDEX(Gabarito!$G:$G,MATCH($A80,Gabarito!$A:$A,0)))),"confere","diverge")))</f>
        <v/>
      </c>
      <c r="I80">
        <f>IF('Revisor A'!S80&lt;&gt;"",'Revisor A'!S80,IF('Revisor A'!R80="","não preenchido",IF(LOWER(TRIM('Revisor A'!R80))=LOWER(TRIM(INDEX(Gabarito!$H:$H,MATCH($A80,Gabarito!$A:$A,0)))),"confere","diverge")))</f>
        <v/>
      </c>
      <c r="J80">
        <f>IF('Revisor A'!U80&lt;&gt;"",'Revisor A'!U80,IF('Revisor A'!T80="","não preenchido",IF(LOWER(TRIM('Revisor A'!T80))=LOWER(TRIM(INDEX(Gabarito!$I:$I,MATCH($A80,Gabarito!$A:$A,0)))),"confere","diverge")))</f>
        <v/>
      </c>
      <c r="K80">
        <f>IF('Revisor A'!W80&lt;&gt;"",'Revisor A'!W80,IF('Revisor A'!V80="","não preenchido",IF(LOWER(TRIM('Revisor A'!V80))=LOWER(TRIM(INDEX(Gabarito!$J:$J,MATCH($A80,Gabarito!$A:$A,0)))),"confere","diverge")))</f>
        <v/>
      </c>
      <c r="L80">
        <f>IF('Revisor A'!AB80="","não preenchido",'Revisor A'!AB80)</f>
        <v/>
      </c>
      <c r="M80">
        <f>IF('Revisor A'!AC80="","não preenchido",'Revisor A'!AC80)</f>
        <v/>
      </c>
      <c r="N80">
        <f>COUNTIF(C80:K80,"diverge")</f>
        <v/>
      </c>
      <c r="O80">
        <f>IF(COUNTIF(C80:K80,"não preenchido")=9,"não preenchido",IF(N80&gt;0,"diverge","confere"))</f>
        <v/>
      </c>
    </row>
    <row r="81">
      <c r="A81">
        <f>'Revisor A'!A81</f>
        <v/>
      </c>
      <c r="B81">
        <f>IFERROR(INDEX(Gabarito!$M:$M,MATCH($A81,Gabarito!$A:$A,0)),"")</f>
        <v/>
      </c>
      <c r="C81">
        <f>IF('Revisor A'!G81&lt;&gt;"",'Revisor A'!G81,IF('Revisor A'!F81="","não preenchido",IF(ABS(N('Revisor A'!F81)-N(INDEX(Gabarito!$B:$B,MATCH($A81,Gabarito!$A:$A,0))))&lt;=1,"confere","diverge")))</f>
        <v/>
      </c>
      <c r="D81">
        <f>IF('Revisor A'!I81&lt;&gt;"",'Revisor A'!I81,IF('Revisor A'!H81="","não preenchido",IF(ABS(N('Revisor A'!H81)-N(INDEX(Gabarito!$C:$C,MATCH($A81,Gabarito!$A:$A,0))))&lt;=1,"confere","diverge")))</f>
        <v/>
      </c>
      <c r="E81">
        <f>IF('Revisor A'!K81&lt;&gt;"",'Revisor A'!K81,IF('Revisor A'!J81="","não preenchido",IF(LOWER(TRIM('Revisor A'!J81))=LOWER(TRIM(INDEX(Gabarito!$D:$D,MATCH($A81,Gabarito!$A:$A,0)))),"confere","diverge")))</f>
        <v/>
      </c>
      <c r="F81">
        <f>IF('Revisor A'!M81&lt;&gt;"",'Revisor A'!M81,IF('Revisor A'!L81="","não preenchido",IF(LOWER(TRIM('Revisor A'!L81))=LOWER(TRIM(INDEX(Gabarito!$E:$E,MATCH($A81,Gabarito!$A:$A,0)))),"confere","diverge")))</f>
        <v/>
      </c>
      <c r="G81">
        <f>IF('Revisor A'!O81&lt;&gt;"",'Revisor A'!O81,IF('Revisor A'!N81="","não preenchido",IF(LOWER(TRIM('Revisor A'!N81))=LOWER(TRIM(INDEX(Gabarito!$F:$F,MATCH($A81,Gabarito!$A:$A,0)))),"confere","diverge")))</f>
        <v/>
      </c>
      <c r="H81">
        <f>IF('Revisor A'!Q81&lt;&gt;"",'Revisor A'!Q81,IF('Revisor A'!P81="","não preenchido",IF(LOWER(TRIM('Revisor A'!P81))=LOWER(TRIM(INDEX(Gabarito!$G:$G,MATCH($A81,Gabarito!$A:$A,0)))),"confere","diverge")))</f>
        <v/>
      </c>
      <c r="I81">
        <f>IF('Revisor A'!S81&lt;&gt;"",'Revisor A'!S81,IF('Revisor A'!R81="","não preenchido",IF(LOWER(TRIM('Revisor A'!R81))=LOWER(TRIM(INDEX(Gabarito!$H:$H,MATCH($A81,Gabarito!$A:$A,0)))),"confere","diverge")))</f>
        <v/>
      </c>
      <c r="J81">
        <f>IF('Revisor A'!U81&lt;&gt;"",'Revisor A'!U81,IF('Revisor A'!T81="","não preenchido",IF(LOWER(TRIM('Revisor A'!T81))=LOWER(TRIM(INDEX(Gabarito!$I:$I,MATCH($A81,Gabarito!$A:$A,0)))),"confere","diverge")))</f>
        <v/>
      </c>
      <c r="K81">
        <f>IF('Revisor A'!W81&lt;&gt;"",'Revisor A'!W81,IF('Revisor A'!V81="","não preenchido",IF(LOWER(TRIM('Revisor A'!V81))=LOWER(TRIM(INDEX(Gabarito!$J:$J,MATCH($A81,Gabarito!$A:$A,0)))),"confere","diverge")))</f>
        <v/>
      </c>
      <c r="L81">
        <f>IF('Revisor A'!AB81="","não preenchido",'Revisor A'!AB81)</f>
        <v/>
      </c>
      <c r="M81">
        <f>IF('Revisor A'!AC81="","não preenchido",'Revisor A'!AC81)</f>
        <v/>
      </c>
      <c r="N81">
        <f>COUNTIF(C81:K81,"diverge")</f>
        <v/>
      </c>
      <c r="O81">
        <f>IF(COUNTIF(C81:K81,"não preenchido")=9,"não preenchido",IF(N81&gt;0,"diverge","confere"))</f>
        <v/>
      </c>
    </row>
    <row r="82">
      <c r="A82">
        <f>'Revisor A'!A82</f>
        <v/>
      </c>
      <c r="B82">
        <f>IFERROR(INDEX(Gabarito!$M:$M,MATCH($A82,Gabarito!$A:$A,0)),"")</f>
        <v/>
      </c>
      <c r="C82">
        <f>IF('Revisor A'!G82&lt;&gt;"",'Revisor A'!G82,IF('Revisor A'!F82="","não preenchido",IF(ABS(N('Revisor A'!F82)-N(INDEX(Gabarito!$B:$B,MATCH($A82,Gabarito!$A:$A,0))))&lt;=1,"confere","diverge")))</f>
        <v/>
      </c>
      <c r="D82">
        <f>IF('Revisor A'!I82&lt;&gt;"",'Revisor A'!I82,IF('Revisor A'!H82="","não preenchido",IF(ABS(N('Revisor A'!H82)-N(INDEX(Gabarito!$C:$C,MATCH($A82,Gabarito!$A:$A,0))))&lt;=1,"confere","diverge")))</f>
        <v/>
      </c>
      <c r="E82">
        <f>IF('Revisor A'!K82&lt;&gt;"",'Revisor A'!K82,IF('Revisor A'!J82="","não preenchido",IF(LOWER(TRIM('Revisor A'!J82))=LOWER(TRIM(INDEX(Gabarito!$D:$D,MATCH($A82,Gabarito!$A:$A,0)))),"confere","diverge")))</f>
        <v/>
      </c>
      <c r="F82">
        <f>IF('Revisor A'!M82&lt;&gt;"",'Revisor A'!M82,IF('Revisor A'!L82="","não preenchido",IF(LOWER(TRIM('Revisor A'!L82))=LOWER(TRIM(INDEX(Gabarito!$E:$E,MATCH($A82,Gabarito!$A:$A,0)))),"confere","diverge")))</f>
        <v/>
      </c>
      <c r="G82">
        <f>IF('Revisor A'!O82&lt;&gt;"",'Revisor A'!O82,IF('Revisor A'!N82="","não preenchido",IF(LOWER(TRIM('Revisor A'!N82))=LOWER(TRIM(INDEX(Gabarito!$F:$F,MATCH($A82,Gabarito!$A:$A,0)))),"confere","diverge")))</f>
        <v/>
      </c>
      <c r="H82">
        <f>IF('Revisor A'!Q82&lt;&gt;"",'Revisor A'!Q82,IF('Revisor A'!P82="","não preenchido",IF(LOWER(TRIM('Revisor A'!P82))=LOWER(TRIM(INDEX(Gabarito!$G:$G,MATCH($A82,Gabarito!$A:$A,0)))),"confere","diverge")))</f>
        <v/>
      </c>
      <c r="I82">
        <f>IF('Revisor A'!S82&lt;&gt;"",'Revisor A'!S82,IF('Revisor A'!R82="","não preenchido",IF(LOWER(TRIM('Revisor A'!R82))=LOWER(TRIM(INDEX(Gabarito!$H:$H,MATCH($A82,Gabarito!$A:$A,0)))),"confere","diverge")))</f>
        <v/>
      </c>
      <c r="J82">
        <f>IF('Revisor A'!U82&lt;&gt;"",'Revisor A'!U82,IF('Revisor A'!T82="","não preenchido",IF(LOWER(TRIM('Revisor A'!T82))=LOWER(TRIM(INDEX(Gabarito!$I:$I,MATCH($A82,Gabarito!$A:$A,0)))),"confere","diverge")))</f>
        <v/>
      </c>
      <c r="K82">
        <f>IF('Revisor A'!W82&lt;&gt;"",'Revisor A'!W82,IF('Revisor A'!V82="","não preenchido",IF(LOWER(TRIM('Revisor A'!V82))=LOWER(TRIM(INDEX(Gabarito!$J:$J,MATCH($A82,Gabarito!$A:$A,0)))),"confere","diverge")))</f>
        <v/>
      </c>
      <c r="L82">
        <f>IF('Revisor A'!AB82="","não preenchido",'Revisor A'!AB82)</f>
        <v/>
      </c>
      <c r="M82">
        <f>IF('Revisor A'!AC82="","não preenchido",'Revisor A'!AC82)</f>
        <v/>
      </c>
      <c r="N82">
        <f>COUNTIF(C82:K82,"diverge")</f>
        <v/>
      </c>
      <c r="O82">
        <f>IF(COUNTIF(C82:K82,"não preenchido")=9,"não preenchido",IF(N82&gt;0,"diverge","confere"))</f>
        <v/>
      </c>
    </row>
    <row r="83">
      <c r="A83">
        <f>'Revisor A'!A83</f>
        <v/>
      </c>
      <c r="B83">
        <f>IFERROR(INDEX(Gabarito!$M:$M,MATCH($A83,Gabarito!$A:$A,0)),"")</f>
        <v/>
      </c>
      <c r="C83">
        <f>IF('Revisor A'!G83&lt;&gt;"",'Revisor A'!G83,IF('Revisor A'!F83="","não preenchido",IF(ABS(N('Revisor A'!F83)-N(INDEX(Gabarito!$B:$B,MATCH($A83,Gabarito!$A:$A,0))))&lt;=1,"confere","diverge")))</f>
        <v/>
      </c>
      <c r="D83">
        <f>IF('Revisor A'!I83&lt;&gt;"",'Revisor A'!I83,IF('Revisor A'!H83="","não preenchido",IF(ABS(N('Revisor A'!H83)-N(INDEX(Gabarito!$C:$C,MATCH($A83,Gabarito!$A:$A,0))))&lt;=1,"confere","diverge")))</f>
        <v/>
      </c>
      <c r="E83">
        <f>IF('Revisor A'!K83&lt;&gt;"",'Revisor A'!K83,IF('Revisor A'!J83="","não preenchido",IF(LOWER(TRIM('Revisor A'!J83))=LOWER(TRIM(INDEX(Gabarito!$D:$D,MATCH($A83,Gabarito!$A:$A,0)))),"confere","diverge")))</f>
        <v/>
      </c>
      <c r="F83">
        <f>IF('Revisor A'!M83&lt;&gt;"",'Revisor A'!M83,IF('Revisor A'!L83="","não preenchido",IF(LOWER(TRIM('Revisor A'!L83))=LOWER(TRIM(INDEX(Gabarito!$E:$E,MATCH($A83,Gabarito!$A:$A,0)))),"confere","diverge")))</f>
        <v/>
      </c>
      <c r="G83">
        <f>IF('Revisor A'!O83&lt;&gt;"",'Revisor A'!O83,IF('Revisor A'!N83="","não preenchido",IF(LOWER(TRIM('Revisor A'!N83))=LOWER(TRIM(INDEX(Gabarito!$F:$F,MATCH($A83,Gabarito!$A:$A,0)))),"confere","diverge")))</f>
        <v/>
      </c>
      <c r="H83">
        <f>IF('Revisor A'!Q83&lt;&gt;"",'Revisor A'!Q83,IF('Revisor A'!P83="","não preenchido",IF(LOWER(TRIM('Revisor A'!P83))=LOWER(TRIM(INDEX(Gabarito!$G:$G,MATCH($A83,Gabarito!$A:$A,0)))),"confere","diverge")))</f>
        <v/>
      </c>
      <c r="I83">
        <f>IF('Revisor A'!S83&lt;&gt;"",'Revisor A'!S83,IF('Revisor A'!R83="","não preenchido",IF(LOWER(TRIM('Revisor A'!R83))=LOWER(TRIM(INDEX(Gabarito!$H:$H,MATCH($A83,Gabarito!$A:$A,0)))),"confere","diverge")))</f>
        <v/>
      </c>
      <c r="J83">
        <f>IF('Revisor A'!U83&lt;&gt;"",'Revisor A'!U83,IF('Revisor A'!T83="","não preenchido",IF(LOWER(TRIM('Revisor A'!T83))=LOWER(TRIM(INDEX(Gabarito!$I:$I,MATCH($A83,Gabarito!$A:$A,0)))),"confere","diverge")))</f>
        <v/>
      </c>
      <c r="K83">
        <f>IF('Revisor A'!W83&lt;&gt;"",'Revisor A'!W83,IF('Revisor A'!V83="","não preenchido",IF(LOWER(TRIM('Revisor A'!V83))=LOWER(TRIM(INDEX(Gabarito!$J:$J,MATCH($A83,Gabarito!$A:$A,0)))),"confere","diverge")))</f>
        <v/>
      </c>
      <c r="L83">
        <f>IF('Revisor A'!AB83="","não preenchido",'Revisor A'!AB83)</f>
        <v/>
      </c>
      <c r="M83">
        <f>IF('Revisor A'!AC83="","não preenchido",'Revisor A'!AC83)</f>
        <v/>
      </c>
      <c r="N83">
        <f>COUNTIF(C83:K83,"diverge")</f>
        <v/>
      </c>
      <c r="O83">
        <f>IF(COUNTIF(C83:K83,"não preenchido")=9,"não preenchido",IF(N83&gt;0,"diverge","confere"))</f>
        <v/>
      </c>
    </row>
    <row r="84">
      <c r="A84">
        <f>'Revisor A'!A84</f>
        <v/>
      </c>
      <c r="B84">
        <f>IFERROR(INDEX(Gabarito!$M:$M,MATCH($A84,Gabarito!$A:$A,0)),"")</f>
        <v/>
      </c>
      <c r="C84">
        <f>IF('Revisor A'!G84&lt;&gt;"",'Revisor A'!G84,IF('Revisor A'!F84="","não preenchido",IF(ABS(N('Revisor A'!F84)-N(INDEX(Gabarito!$B:$B,MATCH($A84,Gabarito!$A:$A,0))))&lt;=1,"confere","diverge")))</f>
        <v/>
      </c>
      <c r="D84">
        <f>IF('Revisor A'!I84&lt;&gt;"",'Revisor A'!I84,IF('Revisor A'!H84="","não preenchido",IF(ABS(N('Revisor A'!H84)-N(INDEX(Gabarito!$C:$C,MATCH($A84,Gabarito!$A:$A,0))))&lt;=1,"confere","diverge")))</f>
        <v/>
      </c>
      <c r="E84">
        <f>IF('Revisor A'!K84&lt;&gt;"",'Revisor A'!K84,IF('Revisor A'!J84="","não preenchido",IF(LOWER(TRIM('Revisor A'!J84))=LOWER(TRIM(INDEX(Gabarito!$D:$D,MATCH($A84,Gabarito!$A:$A,0)))),"confere","diverge")))</f>
        <v/>
      </c>
      <c r="F84">
        <f>IF('Revisor A'!M84&lt;&gt;"",'Revisor A'!M84,IF('Revisor A'!L84="","não preenchido",IF(LOWER(TRIM('Revisor A'!L84))=LOWER(TRIM(INDEX(Gabarito!$E:$E,MATCH($A84,Gabarito!$A:$A,0)))),"confere","diverge")))</f>
        <v/>
      </c>
      <c r="G84">
        <f>IF('Revisor A'!O84&lt;&gt;"",'Revisor A'!O84,IF('Revisor A'!N84="","não preenchido",IF(LOWER(TRIM('Revisor A'!N84))=LOWER(TRIM(INDEX(Gabarito!$F:$F,MATCH($A84,Gabarito!$A:$A,0)))),"confere","diverge")))</f>
        <v/>
      </c>
      <c r="H84">
        <f>IF('Revisor A'!Q84&lt;&gt;"",'Revisor A'!Q84,IF('Revisor A'!P84="","não preenchido",IF(LOWER(TRIM('Revisor A'!P84))=LOWER(TRIM(INDEX(Gabarito!$G:$G,MATCH($A84,Gabarito!$A:$A,0)))),"confere","diverge")))</f>
        <v/>
      </c>
      <c r="I84">
        <f>IF('Revisor A'!S84&lt;&gt;"",'Revisor A'!S84,IF('Revisor A'!R84="","não preenchido",IF(LOWER(TRIM('Revisor A'!R84))=LOWER(TRIM(INDEX(Gabarito!$H:$H,MATCH($A84,Gabarito!$A:$A,0)))),"confere","diverge")))</f>
        <v/>
      </c>
      <c r="J84">
        <f>IF('Revisor A'!U84&lt;&gt;"",'Revisor A'!U84,IF('Revisor A'!T84="","não preenchido",IF(LOWER(TRIM('Revisor A'!T84))=LOWER(TRIM(INDEX(Gabarito!$I:$I,MATCH($A84,Gabarito!$A:$A,0)))),"confere","diverge")))</f>
        <v/>
      </c>
      <c r="K84">
        <f>IF('Revisor A'!W84&lt;&gt;"",'Revisor A'!W84,IF('Revisor A'!V84="","não preenchido",IF(LOWER(TRIM('Revisor A'!V84))=LOWER(TRIM(INDEX(Gabarito!$J:$J,MATCH($A84,Gabarito!$A:$A,0)))),"confere","diverge")))</f>
        <v/>
      </c>
      <c r="L84">
        <f>IF('Revisor A'!AB84="","não preenchido",'Revisor A'!AB84)</f>
        <v/>
      </c>
      <c r="M84">
        <f>IF('Revisor A'!AC84="","não preenchido",'Revisor A'!AC84)</f>
        <v/>
      </c>
      <c r="N84">
        <f>COUNTIF(C84:K84,"diverge")</f>
        <v/>
      </c>
      <c r="O84">
        <f>IF(COUNTIF(C84:K84,"não preenchido")=9,"não preenchido",IF(N84&gt;0,"diverge","confere"))</f>
        <v/>
      </c>
    </row>
    <row r="85">
      <c r="A85">
        <f>'Revisor A'!A85</f>
        <v/>
      </c>
      <c r="B85">
        <f>IFERROR(INDEX(Gabarito!$M:$M,MATCH($A85,Gabarito!$A:$A,0)),"")</f>
        <v/>
      </c>
      <c r="C85">
        <f>IF('Revisor A'!G85&lt;&gt;"",'Revisor A'!G85,IF('Revisor A'!F85="","não preenchido",IF(ABS(N('Revisor A'!F85)-N(INDEX(Gabarito!$B:$B,MATCH($A85,Gabarito!$A:$A,0))))&lt;=1,"confere","diverge")))</f>
        <v/>
      </c>
      <c r="D85">
        <f>IF('Revisor A'!I85&lt;&gt;"",'Revisor A'!I85,IF('Revisor A'!H85="","não preenchido",IF(ABS(N('Revisor A'!H85)-N(INDEX(Gabarito!$C:$C,MATCH($A85,Gabarito!$A:$A,0))))&lt;=1,"confere","diverge")))</f>
        <v/>
      </c>
      <c r="E85">
        <f>IF('Revisor A'!K85&lt;&gt;"",'Revisor A'!K85,IF('Revisor A'!J85="","não preenchido",IF(LOWER(TRIM('Revisor A'!J85))=LOWER(TRIM(INDEX(Gabarito!$D:$D,MATCH($A85,Gabarito!$A:$A,0)))),"confere","diverge")))</f>
        <v/>
      </c>
      <c r="F85">
        <f>IF('Revisor A'!M85&lt;&gt;"",'Revisor A'!M85,IF('Revisor A'!L85="","não preenchido",IF(LOWER(TRIM('Revisor A'!L85))=LOWER(TRIM(INDEX(Gabarito!$E:$E,MATCH($A85,Gabarito!$A:$A,0)))),"confere","diverge")))</f>
        <v/>
      </c>
      <c r="G85">
        <f>IF('Revisor A'!O85&lt;&gt;"",'Revisor A'!O85,IF('Revisor A'!N85="","não preenchido",IF(LOWER(TRIM('Revisor A'!N85))=LOWER(TRIM(INDEX(Gabarito!$F:$F,MATCH($A85,Gabarito!$A:$A,0)))),"confere","diverge")))</f>
        <v/>
      </c>
      <c r="H85">
        <f>IF('Revisor A'!Q85&lt;&gt;"",'Revisor A'!Q85,IF('Revisor A'!P85="","não preenchido",IF(LOWER(TRIM('Revisor A'!P85))=LOWER(TRIM(INDEX(Gabarito!$G:$G,MATCH($A85,Gabarito!$A:$A,0)))),"confere","diverge")))</f>
        <v/>
      </c>
      <c r="I85">
        <f>IF('Revisor A'!S85&lt;&gt;"",'Revisor A'!S85,IF('Revisor A'!R85="","não preenchido",IF(LOWER(TRIM('Revisor A'!R85))=LOWER(TRIM(INDEX(Gabarito!$H:$H,MATCH($A85,Gabarito!$A:$A,0)))),"confere","diverge")))</f>
        <v/>
      </c>
      <c r="J85">
        <f>IF('Revisor A'!U85&lt;&gt;"",'Revisor A'!U85,IF('Revisor A'!T85="","não preenchido",IF(LOWER(TRIM('Revisor A'!T85))=LOWER(TRIM(INDEX(Gabarito!$I:$I,MATCH($A85,Gabarito!$A:$A,0)))),"confere","diverge")))</f>
        <v/>
      </c>
      <c r="K85">
        <f>IF('Revisor A'!W85&lt;&gt;"",'Revisor A'!W85,IF('Revisor A'!V85="","não preenchido",IF(LOWER(TRIM('Revisor A'!V85))=LOWER(TRIM(INDEX(Gabarito!$J:$J,MATCH($A85,Gabarito!$A:$A,0)))),"confere","diverge")))</f>
        <v/>
      </c>
      <c r="L85">
        <f>IF('Revisor A'!AB85="","não preenchido",'Revisor A'!AB85)</f>
        <v/>
      </c>
      <c r="M85">
        <f>IF('Revisor A'!AC85="","não preenchido",'Revisor A'!AC85)</f>
        <v/>
      </c>
      <c r="N85">
        <f>COUNTIF(C85:K85,"diverge")</f>
        <v/>
      </c>
      <c r="O85">
        <f>IF(COUNTIF(C85:K85,"não preenchido")=9,"não preenchido",IF(N85&gt;0,"diverge","confere"))</f>
        <v/>
      </c>
    </row>
    <row r="86">
      <c r="A86">
        <f>'Revisor A'!A86</f>
        <v/>
      </c>
      <c r="B86">
        <f>IFERROR(INDEX(Gabarito!$M:$M,MATCH($A86,Gabarito!$A:$A,0)),"")</f>
        <v/>
      </c>
      <c r="C86">
        <f>IF('Revisor A'!G86&lt;&gt;"",'Revisor A'!G86,IF('Revisor A'!F86="","não preenchido",IF(ABS(N('Revisor A'!F86)-N(INDEX(Gabarito!$B:$B,MATCH($A86,Gabarito!$A:$A,0))))&lt;=1,"confere","diverge")))</f>
        <v/>
      </c>
      <c r="D86">
        <f>IF('Revisor A'!I86&lt;&gt;"",'Revisor A'!I86,IF('Revisor A'!H86="","não preenchido",IF(ABS(N('Revisor A'!H86)-N(INDEX(Gabarito!$C:$C,MATCH($A86,Gabarito!$A:$A,0))))&lt;=1,"confere","diverge")))</f>
        <v/>
      </c>
      <c r="E86">
        <f>IF('Revisor A'!K86&lt;&gt;"",'Revisor A'!K86,IF('Revisor A'!J86="","não preenchido",IF(LOWER(TRIM('Revisor A'!J86))=LOWER(TRIM(INDEX(Gabarito!$D:$D,MATCH($A86,Gabarito!$A:$A,0)))),"confere","diverge")))</f>
        <v/>
      </c>
      <c r="F86">
        <f>IF('Revisor A'!M86&lt;&gt;"",'Revisor A'!M86,IF('Revisor A'!L86="","não preenchido",IF(LOWER(TRIM('Revisor A'!L86))=LOWER(TRIM(INDEX(Gabarito!$E:$E,MATCH($A86,Gabarito!$A:$A,0)))),"confere","diverge")))</f>
        <v/>
      </c>
      <c r="G86">
        <f>IF('Revisor A'!O86&lt;&gt;"",'Revisor A'!O86,IF('Revisor A'!N86="","não preenchido",IF(LOWER(TRIM('Revisor A'!N86))=LOWER(TRIM(INDEX(Gabarito!$F:$F,MATCH($A86,Gabarito!$A:$A,0)))),"confere","diverge")))</f>
        <v/>
      </c>
      <c r="H86">
        <f>IF('Revisor A'!Q86&lt;&gt;"",'Revisor A'!Q86,IF('Revisor A'!P86="","não preenchido",IF(LOWER(TRIM('Revisor A'!P86))=LOWER(TRIM(INDEX(Gabarito!$G:$G,MATCH($A86,Gabarito!$A:$A,0)))),"confere","diverge")))</f>
        <v/>
      </c>
      <c r="I86">
        <f>IF('Revisor A'!S86&lt;&gt;"",'Revisor A'!S86,IF('Revisor A'!R86="","não preenchido",IF(LOWER(TRIM('Revisor A'!R86))=LOWER(TRIM(INDEX(Gabarito!$H:$H,MATCH($A86,Gabarito!$A:$A,0)))),"confere","diverge")))</f>
        <v/>
      </c>
      <c r="J86">
        <f>IF('Revisor A'!U86&lt;&gt;"",'Revisor A'!U86,IF('Revisor A'!T86="","não preenchido",IF(LOWER(TRIM('Revisor A'!T86))=LOWER(TRIM(INDEX(Gabarito!$I:$I,MATCH($A86,Gabarito!$A:$A,0)))),"confere","diverge")))</f>
        <v/>
      </c>
      <c r="K86">
        <f>IF('Revisor A'!W86&lt;&gt;"",'Revisor A'!W86,IF('Revisor A'!V86="","não preenchido",IF(LOWER(TRIM('Revisor A'!V86))=LOWER(TRIM(INDEX(Gabarito!$J:$J,MATCH($A86,Gabarito!$A:$A,0)))),"confere","diverge")))</f>
        <v/>
      </c>
      <c r="L86">
        <f>IF('Revisor A'!AB86="","não preenchido",'Revisor A'!AB86)</f>
        <v/>
      </c>
      <c r="M86">
        <f>IF('Revisor A'!AC86="","não preenchido",'Revisor A'!AC86)</f>
        <v/>
      </c>
      <c r="N86">
        <f>COUNTIF(C86:K86,"diverge")</f>
        <v/>
      </c>
      <c r="O86">
        <f>IF(COUNTIF(C86:K86,"não preenchido")=9,"não preenchido",IF(N86&gt;0,"diverge","confere"))</f>
        <v/>
      </c>
    </row>
    <row r="87">
      <c r="A87">
        <f>'Revisor A'!A87</f>
        <v/>
      </c>
      <c r="B87">
        <f>IFERROR(INDEX(Gabarito!$M:$M,MATCH($A87,Gabarito!$A:$A,0)),"")</f>
        <v/>
      </c>
      <c r="C87">
        <f>IF('Revisor A'!G87&lt;&gt;"",'Revisor A'!G87,IF('Revisor A'!F87="","não preenchido",IF(ABS(N('Revisor A'!F87)-N(INDEX(Gabarito!$B:$B,MATCH($A87,Gabarito!$A:$A,0))))&lt;=1,"confere","diverge")))</f>
        <v/>
      </c>
      <c r="D87">
        <f>IF('Revisor A'!I87&lt;&gt;"",'Revisor A'!I87,IF('Revisor A'!H87="","não preenchido",IF(ABS(N('Revisor A'!H87)-N(INDEX(Gabarito!$C:$C,MATCH($A87,Gabarito!$A:$A,0))))&lt;=1,"confere","diverge")))</f>
        <v/>
      </c>
      <c r="E87">
        <f>IF('Revisor A'!K87&lt;&gt;"",'Revisor A'!K87,IF('Revisor A'!J87="","não preenchido",IF(LOWER(TRIM('Revisor A'!J87))=LOWER(TRIM(INDEX(Gabarito!$D:$D,MATCH($A87,Gabarito!$A:$A,0)))),"confere","diverge")))</f>
        <v/>
      </c>
      <c r="F87">
        <f>IF('Revisor A'!M87&lt;&gt;"",'Revisor A'!M87,IF('Revisor A'!L87="","não preenchido",IF(LOWER(TRIM('Revisor A'!L87))=LOWER(TRIM(INDEX(Gabarito!$E:$E,MATCH($A87,Gabarito!$A:$A,0)))),"confere","diverge")))</f>
        <v/>
      </c>
      <c r="G87">
        <f>IF('Revisor A'!O87&lt;&gt;"",'Revisor A'!O87,IF('Revisor A'!N87="","não preenchido",IF(LOWER(TRIM('Revisor A'!N87))=LOWER(TRIM(INDEX(Gabarito!$F:$F,MATCH($A87,Gabarito!$A:$A,0)))),"confere","diverge")))</f>
        <v/>
      </c>
      <c r="H87">
        <f>IF('Revisor A'!Q87&lt;&gt;"",'Revisor A'!Q87,IF('Revisor A'!P87="","não preenchido",IF(LOWER(TRIM('Revisor A'!P87))=LOWER(TRIM(INDEX(Gabarito!$G:$G,MATCH($A87,Gabarito!$A:$A,0)))),"confere","diverge")))</f>
        <v/>
      </c>
      <c r="I87">
        <f>IF('Revisor A'!S87&lt;&gt;"",'Revisor A'!S87,IF('Revisor A'!R87="","não preenchido",IF(LOWER(TRIM('Revisor A'!R87))=LOWER(TRIM(INDEX(Gabarito!$H:$H,MATCH($A87,Gabarito!$A:$A,0)))),"confere","diverge")))</f>
        <v/>
      </c>
      <c r="J87">
        <f>IF('Revisor A'!U87&lt;&gt;"",'Revisor A'!U87,IF('Revisor A'!T87="","não preenchido",IF(LOWER(TRIM('Revisor A'!T87))=LOWER(TRIM(INDEX(Gabarito!$I:$I,MATCH($A87,Gabarito!$A:$A,0)))),"confere","diverge")))</f>
        <v/>
      </c>
      <c r="K87">
        <f>IF('Revisor A'!W87&lt;&gt;"",'Revisor A'!W87,IF('Revisor A'!V87="","não preenchido",IF(LOWER(TRIM('Revisor A'!V87))=LOWER(TRIM(INDEX(Gabarito!$J:$J,MATCH($A87,Gabarito!$A:$A,0)))),"confere","diverge")))</f>
        <v/>
      </c>
      <c r="L87">
        <f>IF('Revisor A'!AB87="","não preenchido",'Revisor A'!AB87)</f>
        <v/>
      </c>
      <c r="M87">
        <f>IF('Revisor A'!AC87="","não preenchido",'Revisor A'!AC87)</f>
        <v/>
      </c>
      <c r="N87">
        <f>COUNTIF(C87:K87,"diverge")</f>
        <v/>
      </c>
      <c r="O87">
        <f>IF(COUNTIF(C87:K87,"não preenchido")=9,"não preenchido",IF(N87&gt;0,"diverge","confere"))</f>
        <v/>
      </c>
    </row>
    <row r="88">
      <c r="A88">
        <f>'Revisor A'!A88</f>
        <v/>
      </c>
      <c r="B88">
        <f>IFERROR(INDEX(Gabarito!$M:$M,MATCH($A88,Gabarito!$A:$A,0)),"")</f>
        <v/>
      </c>
      <c r="C88">
        <f>IF('Revisor A'!G88&lt;&gt;"",'Revisor A'!G88,IF('Revisor A'!F88="","não preenchido",IF(ABS(N('Revisor A'!F88)-N(INDEX(Gabarito!$B:$B,MATCH($A88,Gabarito!$A:$A,0))))&lt;=1,"confere","diverge")))</f>
        <v/>
      </c>
      <c r="D88">
        <f>IF('Revisor A'!I88&lt;&gt;"",'Revisor A'!I88,IF('Revisor A'!H88="","não preenchido",IF(ABS(N('Revisor A'!H88)-N(INDEX(Gabarito!$C:$C,MATCH($A88,Gabarito!$A:$A,0))))&lt;=1,"confere","diverge")))</f>
        <v/>
      </c>
      <c r="E88">
        <f>IF('Revisor A'!K88&lt;&gt;"",'Revisor A'!K88,IF('Revisor A'!J88="","não preenchido",IF(LOWER(TRIM('Revisor A'!J88))=LOWER(TRIM(INDEX(Gabarito!$D:$D,MATCH($A88,Gabarito!$A:$A,0)))),"confere","diverge")))</f>
        <v/>
      </c>
      <c r="F88">
        <f>IF('Revisor A'!M88&lt;&gt;"",'Revisor A'!M88,IF('Revisor A'!L88="","não preenchido",IF(LOWER(TRIM('Revisor A'!L88))=LOWER(TRIM(INDEX(Gabarito!$E:$E,MATCH($A88,Gabarito!$A:$A,0)))),"confere","diverge")))</f>
        <v/>
      </c>
      <c r="G88">
        <f>IF('Revisor A'!O88&lt;&gt;"",'Revisor A'!O88,IF('Revisor A'!N88="","não preenchido",IF(LOWER(TRIM('Revisor A'!N88))=LOWER(TRIM(INDEX(Gabarito!$F:$F,MATCH($A88,Gabarito!$A:$A,0)))),"confere","diverge")))</f>
        <v/>
      </c>
      <c r="H88">
        <f>IF('Revisor A'!Q88&lt;&gt;"",'Revisor A'!Q88,IF('Revisor A'!P88="","não preenchido",IF(LOWER(TRIM('Revisor A'!P88))=LOWER(TRIM(INDEX(Gabarito!$G:$G,MATCH($A88,Gabarito!$A:$A,0)))),"confere","diverge")))</f>
        <v/>
      </c>
      <c r="I88">
        <f>IF('Revisor A'!S88&lt;&gt;"",'Revisor A'!S88,IF('Revisor A'!R88="","não preenchido",IF(LOWER(TRIM('Revisor A'!R88))=LOWER(TRIM(INDEX(Gabarito!$H:$H,MATCH($A88,Gabarito!$A:$A,0)))),"confere","diverge")))</f>
        <v/>
      </c>
      <c r="J88">
        <f>IF('Revisor A'!U88&lt;&gt;"",'Revisor A'!U88,IF('Revisor A'!T88="","não preenchido",IF(LOWER(TRIM('Revisor A'!T88))=LOWER(TRIM(INDEX(Gabarito!$I:$I,MATCH($A88,Gabarito!$A:$A,0)))),"confere","diverge")))</f>
        <v/>
      </c>
      <c r="K88">
        <f>IF('Revisor A'!W88&lt;&gt;"",'Revisor A'!W88,IF('Revisor A'!V88="","não preenchido",IF(LOWER(TRIM('Revisor A'!V88))=LOWER(TRIM(INDEX(Gabarito!$J:$J,MATCH($A88,Gabarito!$A:$A,0)))),"confere","diverge")))</f>
        <v/>
      </c>
      <c r="L88">
        <f>IF('Revisor A'!AB88="","não preenchido",'Revisor A'!AB88)</f>
        <v/>
      </c>
      <c r="M88">
        <f>IF('Revisor A'!AC88="","não preenchido",'Revisor A'!AC88)</f>
        <v/>
      </c>
      <c r="N88">
        <f>COUNTIF(C88:K88,"diverge")</f>
        <v/>
      </c>
      <c r="O88">
        <f>IF(COUNTIF(C88:K88,"não preenchido")=9,"não preenchido",IF(N88&gt;0,"diverge","confere"))</f>
        <v/>
      </c>
    </row>
    <row r="89">
      <c r="A89">
        <f>'Revisor A'!A89</f>
        <v/>
      </c>
      <c r="B89">
        <f>IFERROR(INDEX(Gabarito!$M:$M,MATCH($A89,Gabarito!$A:$A,0)),"")</f>
        <v/>
      </c>
      <c r="C89">
        <f>IF('Revisor A'!G89&lt;&gt;"",'Revisor A'!G89,IF('Revisor A'!F89="","não preenchido",IF(ABS(N('Revisor A'!F89)-N(INDEX(Gabarito!$B:$B,MATCH($A89,Gabarito!$A:$A,0))))&lt;=1,"confere","diverge")))</f>
        <v/>
      </c>
      <c r="D89">
        <f>IF('Revisor A'!I89&lt;&gt;"",'Revisor A'!I89,IF('Revisor A'!H89="","não preenchido",IF(ABS(N('Revisor A'!H89)-N(INDEX(Gabarito!$C:$C,MATCH($A89,Gabarito!$A:$A,0))))&lt;=1,"confere","diverge")))</f>
        <v/>
      </c>
      <c r="E89">
        <f>IF('Revisor A'!K89&lt;&gt;"",'Revisor A'!K89,IF('Revisor A'!J89="","não preenchido",IF(LOWER(TRIM('Revisor A'!J89))=LOWER(TRIM(INDEX(Gabarito!$D:$D,MATCH($A89,Gabarito!$A:$A,0)))),"confere","diverge")))</f>
        <v/>
      </c>
      <c r="F89">
        <f>IF('Revisor A'!M89&lt;&gt;"",'Revisor A'!M89,IF('Revisor A'!L89="","não preenchido",IF(LOWER(TRIM('Revisor A'!L89))=LOWER(TRIM(INDEX(Gabarito!$E:$E,MATCH($A89,Gabarito!$A:$A,0)))),"confere","diverge")))</f>
        <v/>
      </c>
      <c r="G89">
        <f>IF('Revisor A'!O89&lt;&gt;"",'Revisor A'!O89,IF('Revisor A'!N89="","não preenchido",IF(LOWER(TRIM('Revisor A'!N89))=LOWER(TRIM(INDEX(Gabarito!$F:$F,MATCH($A89,Gabarito!$A:$A,0)))),"confere","diverge")))</f>
        <v/>
      </c>
      <c r="H89">
        <f>IF('Revisor A'!Q89&lt;&gt;"",'Revisor A'!Q89,IF('Revisor A'!P89="","não preenchido",IF(LOWER(TRIM('Revisor A'!P89))=LOWER(TRIM(INDEX(Gabarito!$G:$G,MATCH($A89,Gabarito!$A:$A,0)))),"confere","diverge")))</f>
        <v/>
      </c>
      <c r="I89">
        <f>IF('Revisor A'!S89&lt;&gt;"",'Revisor A'!S89,IF('Revisor A'!R89="","não preenchido",IF(LOWER(TRIM('Revisor A'!R89))=LOWER(TRIM(INDEX(Gabarito!$H:$H,MATCH($A89,Gabarito!$A:$A,0)))),"confere","diverge")))</f>
        <v/>
      </c>
      <c r="J89">
        <f>IF('Revisor A'!U89&lt;&gt;"",'Revisor A'!U89,IF('Revisor A'!T89="","não preenchido",IF(LOWER(TRIM('Revisor A'!T89))=LOWER(TRIM(INDEX(Gabarito!$I:$I,MATCH($A89,Gabarito!$A:$A,0)))),"confere","diverge")))</f>
        <v/>
      </c>
      <c r="K89">
        <f>IF('Revisor A'!W89&lt;&gt;"",'Revisor A'!W89,IF('Revisor A'!V89="","não preenchido",IF(LOWER(TRIM('Revisor A'!V89))=LOWER(TRIM(INDEX(Gabarito!$J:$J,MATCH($A89,Gabarito!$A:$A,0)))),"confere","diverge")))</f>
        <v/>
      </c>
      <c r="L89">
        <f>IF('Revisor A'!AB89="","não preenchido",'Revisor A'!AB89)</f>
        <v/>
      </c>
      <c r="M89">
        <f>IF('Revisor A'!AC89="","não preenchido",'Revisor A'!AC89)</f>
        <v/>
      </c>
      <c r="N89">
        <f>COUNTIF(C89:K89,"diverge")</f>
        <v/>
      </c>
      <c r="O89">
        <f>IF(COUNTIF(C89:K89,"não preenchido")=9,"não preenchido",IF(N89&gt;0,"diverge","confere"))</f>
        <v/>
      </c>
    </row>
    <row r="90">
      <c r="A90">
        <f>'Revisor A'!A90</f>
        <v/>
      </c>
      <c r="B90">
        <f>IFERROR(INDEX(Gabarito!$M:$M,MATCH($A90,Gabarito!$A:$A,0)),"")</f>
        <v/>
      </c>
      <c r="C90">
        <f>IF('Revisor A'!G90&lt;&gt;"",'Revisor A'!G90,IF('Revisor A'!F90="","não preenchido",IF(ABS(N('Revisor A'!F90)-N(INDEX(Gabarito!$B:$B,MATCH($A90,Gabarito!$A:$A,0))))&lt;=1,"confere","diverge")))</f>
        <v/>
      </c>
      <c r="D90">
        <f>IF('Revisor A'!I90&lt;&gt;"",'Revisor A'!I90,IF('Revisor A'!H90="","não preenchido",IF(ABS(N('Revisor A'!H90)-N(INDEX(Gabarito!$C:$C,MATCH($A90,Gabarito!$A:$A,0))))&lt;=1,"confere","diverge")))</f>
        <v/>
      </c>
      <c r="E90">
        <f>IF('Revisor A'!K90&lt;&gt;"",'Revisor A'!K90,IF('Revisor A'!J90="","não preenchido",IF(LOWER(TRIM('Revisor A'!J90))=LOWER(TRIM(INDEX(Gabarito!$D:$D,MATCH($A90,Gabarito!$A:$A,0)))),"confere","diverge")))</f>
        <v/>
      </c>
      <c r="F90">
        <f>IF('Revisor A'!M90&lt;&gt;"",'Revisor A'!M90,IF('Revisor A'!L90="","não preenchido",IF(LOWER(TRIM('Revisor A'!L90))=LOWER(TRIM(INDEX(Gabarito!$E:$E,MATCH($A90,Gabarito!$A:$A,0)))),"confere","diverge")))</f>
        <v/>
      </c>
      <c r="G90">
        <f>IF('Revisor A'!O90&lt;&gt;"",'Revisor A'!O90,IF('Revisor A'!N90="","não preenchido",IF(LOWER(TRIM('Revisor A'!N90))=LOWER(TRIM(INDEX(Gabarito!$F:$F,MATCH($A90,Gabarito!$A:$A,0)))),"confere","diverge")))</f>
        <v/>
      </c>
      <c r="H90">
        <f>IF('Revisor A'!Q90&lt;&gt;"",'Revisor A'!Q90,IF('Revisor A'!P90="","não preenchido",IF(LOWER(TRIM('Revisor A'!P90))=LOWER(TRIM(INDEX(Gabarito!$G:$G,MATCH($A90,Gabarito!$A:$A,0)))),"confere","diverge")))</f>
        <v/>
      </c>
      <c r="I90">
        <f>IF('Revisor A'!S90&lt;&gt;"",'Revisor A'!S90,IF('Revisor A'!R90="","não preenchido",IF(LOWER(TRIM('Revisor A'!R90))=LOWER(TRIM(INDEX(Gabarito!$H:$H,MATCH($A90,Gabarito!$A:$A,0)))),"confere","diverge")))</f>
        <v/>
      </c>
      <c r="J90">
        <f>IF('Revisor A'!U90&lt;&gt;"",'Revisor A'!U90,IF('Revisor A'!T90="","não preenchido",IF(LOWER(TRIM('Revisor A'!T90))=LOWER(TRIM(INDEX(Gabarito!$I:$I,MATCH($A90,Gabarito!$A:$A,0)))),"confere","diverge")))</f>
        <v/>
      </c>
      <c r="K90">
        <f>IF('Revisor A'!W90&lt;&gt;"",'Revisor A'!W90,IF('Revisor A'!V90="","não preenchido",IF(LOWER(TRIM('Revisor A'!V90))=LOWER(TRIM(INDEX(Gabarito!$J:$J,MATCH($A90,Gabarito!$A:$A,0)))),"confere","diverge")))</f>
        <v/>
      </c>
      <c r="L90">
        <f>IF('Revisor A'!AB90="","não preenchido",'Revisor A'!AB90)</f>
        <v/>
      </c>
      <c r="M90">
        <f>IF('Revisor A'!AC90="","não preenchido",'Revisor A'!AC90)</f>
        <v/>
      </c>
      <c r="N90">
        <f>COUNTIF(C90:K90,"diverge")</f>
        <v/>
      </c>
      <c r="O90">
        <f>IF(COUNTIF(C90:K90,"não preenchido")=9,"não preenchido",IF(N90&gt;0,"diverge","confere"))</f>
        <v/>
      </c>
    </row>
    <row r="91">
      <c r="A91">
        <f>'Revisor A'!A91</f>
        <v/>
      </c>
      <c r="B91">
        <f>IFERROR(INDEX(Gabarito!$M:$M,MATCH($A91,Gabarito!$A:$A,0)),"")</f>
        <v/>
      </c>
      <c r="C91">
        <f>IF('Revisor A'!G91&lt;&gt;"",'Revisor A'!G91,IF('Revisor A'!F91="","não preenchido",IF(ABS(N('Revisor A'!F91)-N(INDEX(Gabarito!$B:$B,MATCH($A91,Gabarito!$A:$A,0))))&lt;=1,"confere","diverge")))</f>
        <v/>
      </c>
      <c r="D91">
        <f>IF('Revisor A'!I91&lt;&gt;"",'Revisor A'!I91,IF('Revisor A'!H91="","não preenchido",IF(ABS(N('Revisor A'!H91)-N(INDEX(Gabarito!$C:$C,MATCH($A91,Gabarito!$A:$A,0))))&lt;=1,"confere","diverge")))</f>
        <v/>
      </c>
      <c r="E91">
        <f>IF('Revisor A'!K91&lt;&gt;"",'Revisor A'!K91,IF('Revisor A'!J91="","não preenchido",IF(LOWER(TRIM('Revisor A'!J91))=LOWER(TRIM(INDEX(Gabarito!$D:$D,MATCH($A91,Gabarito!$A:$A,0)))),"confere","diverge")))</f>
        <v/>
      </c>
      <c r="F91">
        <f>IF('Revisor A'!M91&lt;&gt;"",'Revisor A'!M91,IF('Revisor A'!L91="","não preenchido",IF(LOWER(TRIM('Revisor A'!L91))=LOWER(TRIM(INDEX(Gabarito!$E:$E,MATCH($A91,Gabarito!$A:$A,0)))),"confere","diverge")))</f>
        <v/>
      </c>
      <c r="G91">
        <f>IF('Revisor A'!O91&lt;&gt;"",'Revisor A'!O91,IF('Revisor A'!N91="","não preenchido",IF(LOWER(TRIM('Revisor A'!N91))=LOWER(TRIM(INDEX(Gabarito!$F:$F,MATCH($A91,Gabarito!$A:$A,0)))),"confere","diverge")))</f>
        <v/>
      </c>
      <c r="H91">
        <f>IF('Revisor A'!Q91&lt;&gt;"",'Revisor A'!Q91,IF('Revisor A'!P91="","não preenchido",IF(LOWER(TRIM('Revisor A'!P91))=LOWER(TRIM(INDEX(Gabarito!$G:$G,MATCH($A91,Gabarito!$A:$A,0)))),"confere","diverge")))</f>
        <v/>
      </c>
      <c r="I91">
        <f>IF('Revisor A'!S91&lt;&gt;"",'Revisor A'!S91,IF('Revisor A'!R91="","não preenchido",IF(LOWER(TRIM('Revisor A'!R91))=LOWER(TRIM(INDEX(Gabarito!$H:$H,MATCH($A91,Gabarito!$A:$A,0)))),"confere","diverge")))</f>
        <v/>
      </c>
      <c r="J91">
        <f>IF('Revisor A'!U91&lt;&gt;"",'Revisor A'!U91,IF('Revisor A'!T91="","não preenchido",IF(LOWER(TRIM('Revisor A'!T91))=LOWER(TRIM(INDEX(Gabarito!$I:$I,MATCH($A91,Gabarito!$A:$A,0)))),"confere","diverge")))</f>
        <v/>
      </c>
      <c r="K91">
        <f>IF('Revisor A'!W91&lt;&gt;"",'Revisor A'!W91,IF('Revisor A'!V91="","não preenchido",IF(LOWER(TRIM('Revisor A'!V91))=LOWER(TRIM(INDEX(Gabarito!$J:$J,MATCH($A91,Gabarito!$A:$A,0)))),"confere","diverge")))</f>
        <v/>
      </c>
      <c r="L91">
        <f>IF('Revisor A'!AB91="","não preenchido",'Revisor A'!AB91)</f>
        <v/>
      </c>
      <c r="M91">
        <f>IF('Revisor A'!AC91="","não preenchido",'Revisor A'!AC91)</f>
        <v/>
      </c>
      <c r="N91">
        <f>COUNTIF(C91:K91,"diverge")</f>
        <v/>
      </c>
      <c r="O91">
        <f>IF(COUNTIF(C91:K91,"não preenchido")=9,"não preenchido",IF(N91&gt;0,"diverge","confere"))</f>
        <v/>
      </c>
    </row>
    <row r="92">
      <c r="A92">
        <f>'Revisor A'!A92</f>
        <v/>
      </c>
      <c r="B92">
        <f>IFERROR(INDEX(Gabarito!$M:$M,MATCH($A92,Gabarito!$A:$A,0)),"")</f>
        <v/>
      </c>
      <c r="C92">
        <f>IF('Revisor A'!G92&lt;&gt;"",'Revisor A'!G92,IF('Revisor A'!F92="","não preenchido",IF(ABS(N('Revisor A'!F92)-N(INDEX(Gabarito!$B:$B,MATCH($A92,Gabarito!$A:$A,0))))&lt;=1,"confere","diverge")))</f>
        <v/>
      </c>
      <c r="D92">
        <f>IF('Revisor A'!I92&lt;&gt;"",'Revisor A'!I92,IF('Revisor A'!H92="","não preenchido",IF(ABS(N('Revisor A'!H92)-N(INDEX(Gabarito!$C:$C,MATCH($A92,Gabarito!$A:$A,0))))&lt;=1,"confere","diverge")))</f>
        <v/>
      </c>
      <c r="E92">
        <f>IF('Revisor A'!K92&lt;&gt;"",'Revisor A'!K92,IF('Revisor A'!J92="","não preenchido",IF(LOWER(TRIM('Revisor A'!J92))=LOWER(TRIM(INDEX(Gabarito!$D:$D,MATCH($A92,Gabarito!$A:$A,0)))),"confere","diverge")))</f>
        <v/>
      </c>
      <c r="F92">
        <f>IF('Revisor A'!M92&lt;&gt;"",'Revisor A'!M92,IF('Revisor A'!L92="","não preenchido",IF(LOWER(TRIM('Revisor A'!L92))=LOWER(TRIM(INDEX(Gabarito!$E:$E,MATCH($A92,Gabarito!$A:$A,0)))),"confere","diverge")))</f>
        <v/>
      </c>
      <c r="G92">
        <f>IF('Revisor A'!O92&lt;&gt;"",'Revisor A'!O92,IF('Revisor A'!N92="","não preenchido",IF(LOWER(TRIM('Revisor A'!N92))=LOWER(TRIM(INDEX(Gabarito!$F:$F,MATCH($A92,Gabarito!$A:$A,0)))),"confere","diverge")))</f>
        <v/>
      </c>
      <c r="H92">
        <f>IF('Revisor A'!Q92&lt;&gt;"",'Revisor A'!Q92,IF('Revisor A'!P92="","não preenchido",IF(LOWER(TRIM('Revisor A'!P92))=LOWER(TRIM(INDEX(Gabarito!$G:$G,MATCH($A92,Gabarito!$A:$A,0)))),"confere","diverge")))</f>
        <v/>
      </c>
      <c r="I92">
        <f>IF('Revisor A'!S92&lt;&gt;"",'Revisor A'!S92,IF('Revisor A'!R92="","não preenchido",IF(LOWER(TRIM('Revisor A'!R92))=LOWER(TRIM(INDEX(Gabarito!$H:$H,MATCH($A92,Gabarito!$A:$A,0)))),"confere","diverge")))</f>
        <v/>
      </c>
      <c r="J92">
        <f>IF('Revisor A'!U92&lt;&gt;"",'Revisor A'!U92,IF('Revisor A'!T92="","não preenchido",IF(LOWER(TRIM('Revisor A'!T92))=LOWER(TRIM(INDEX(Gabarito!$I:$I,MATCH($A92,Gabarito!$A:$A,0)))),"confere","diverge")))</f>
        <v/>
      </c>
      <c r="K92">
        <f>IF('Revisor A'!W92&lt;&gt;"",'Revisor A'!W92,IF('Revisor A'!V92="","não preenchido",IF(LOWER(TRIM('Revisor A'!V92))=LOWER(TRIM(INDEX(Gabarito!$J:$J,MATCH($A92,Gabarito!$A:$A,0)))),"confere","diverge")))</f>
        <v/>
      </c>
      <c r="L92">
        <f>IF('Revisor A'!AB92="","não preenchido",'Revisor A'!AB92)</f>
        <v/>
      </c>
      <c r="M92">
        <f>IF('Revisor A'!AC92="","não preenchido",'Revisor A'!AC92)</f>
        <v/>
      </c>
      <c r="N92">
        <f>COUNTIF(C92:K92,"diverge")</f>
        <v/>
      </c>
      <c r="O92">
        <f>IF(COUNTIF(C92:K92,"não preenchido")=9,"não preenchido",IF(N92&gt;0,"diverge","confere"))</f>
        <v/>
      </c>
    </row>
    <row r="93">
      <c r="A93">
        <f>'Revisor A'!A93</f>
        <v/>
      </c>
      <c r="B93">
        <f>IFERROR(INDEX(Gabarito!$M:$M,MATCH($A93,Gabarito!$A:$A,0)),"")</f>
        <v/>
      </c>
      <c r="C93">
        <f>IF('Revisor A'!G93&lt;&gt;"",'Revisor A'!G93,IF('Revisor A'!F93="","não preenchido",IF(ABS(N('Revisor A'!F93)-N(INDEX(Gabarito!$B:$B,MATCH($A93,Gabarito!$A:$A,0))))&lt;=1,"confere","diverge")))</f>
        <v/>
      </c>
      <c r="D93">
        <f>IF('Revisor A'!I93&lt;&gt;"",'Revisor A'!I93,IF('Revisor A'!H93="","não preenchido",IF(ABS(N('Revisor A'!H93)-N(INDEX(Gabarito!$C:$C,MATCH($A93,Gabarito!$A:$A,0))))&lt;=1,"confere","diverge")))</f>
        <v/>
      </c>
      <c r="E93">
        <f>IF('Revisor A'!K93&lt;&gt;"",'Revisor A'!K93,IF('Revisor A'!J93="","não preenchido",IF(LOWER(TRIM('Revisor A'!J93))=LOWER(TRIM(INDEX(Gabarito!$D:$D,MATCH($A93,Gabarito!$A:$A,0)))),"confere","diverge")))</f>
        <v/>
      </c>
      <c r="F93">
        <f>IF('Revisor A'!M93&lt;&gt;"",'Revisor A'!M93,IF('Revisor A'!L93="","não preenchido",IF(LOWER(TRIM('Revisor A'!L93))=LOWER(TRIM(INDEX(Gabarito!$E:$E,MATCH($A93,Gabarito!$A:$A,0)))),"confere","diverge")))</f>
        <v/>
      </c>
      <c r="G93">
        <f>IF('Revisor A'!O93&lt;&gt;"",'Revisor A'!O93,IF('Revisor A'!N93="","não preenchido",IF(LOWER(TRIM('Revisor A'!N93))=LOWER(TRIM(INDEX(Gabarito!$F:$F,MATCH($A93,Gabarito!$A:$A,0)))),"confere","diverge")))</f>
        <v/>
      </c>
      <c r="H93">
        <f>IF('Revisor A'!Q93&lt;&gt;"",'Revisor A'!Q93,IF('Revisor A'!P93="","não preenchido",IF(LOWER(TRIM('Revisor A'!P93))=LOWER(TRIM(INDEX(Gabarito!$G:$G,MATCH($A93,Gabarito!$A:$A,0)))),"confere","diverge")))</f>
        <v/>
      </c>
      <c r="I93">
        <f>IF('Revisor A'!S93&lt;&gt;"",'Revisor A'!S93,IF('Revisor A'!R93="","não preenchido",IF(LOWER(TRIM('Revisor A'!R93))=LOWER(TRIM(INDEX(Gabarito!$H:$H,MATCH($A93,Gabarito!$A:$A,0)))),"confere","diverge")))</f>
        <v/>
      </c>
      <c r="J93">
        <f>IF('Revisor A'!U93&lt;&gt;"",'Revisor A'!U93,IF('Revisor A'!T93="","não preenchido",IF(LOWER(TRIM('Revisor A'!T93))=LOWER(TRIM(INDEX(Gabarito!$I:$I,MATCH($A93,Gabarito!$A:$A,0)))),"confere","diverge")))</f>
        <v/>
      </c>
      <c r="K93">
        <f>IF('Revisor A'!W93&lt;&gt;"",'Revisor A'!W93,IF('Revisor A'!V93="","não preenchido",IF(LOWER(TRIM('Revisor A'!V93))=LOWER(TRIM(INDEX(Gabarito!$J:$J,MATCH($A93,Gabarito!$A:$A,0)))),"confere","diverge")))</f>
        <v/>
      </c>
      <c r="L93">
        <f>IF('Revisor A'!AB93="","não preenchido",'Revisor A'!AB93)</f>
        <v/>
      </c>
      <c r="M93">
        <f>IF('Revisor A'!AC93="","não preenchido",'Revisor A'!AC93)</f>
        <v/>
      </c>
      <c r="N93">
        <f>COUNTIF(C93:K93,"diverge")</f>
        <v/>
      </c>
      <c r="O93">
        <f>IF(COUNTIF(C93:K93,"não preenchido")=9,"não preenchido",IF(N93&gt;0,"diverge","confere"))</f>
        <v/>
      </c>
    </row>
    <row r="94">
      <c r="A94">
        <f>'Revisor A'!A94</f>
        <v/>
      </c>
      <c r="B94">
        <f>IFERROR(INDEX(Gabarito!$M:$M,MATCH($A94,Gabarito!$A:$A,0)),"")</f>
        <v/>
      </c>
      <c r="C94">
        <f>IF('Revisor A'!G94&lt;&gt;"",'Revisor A'!G94,IF('Revisor A'!F94="","não preenchido",IF(ABS(N('Revisor A'!F94)-N(INDEX(Gabarito!$B:$B,MATCH($A94,Gabarito!$A:$A,0))))&lt;=1,"confere","diverge")))</f>
        <v/>
      </c>
      <c r="D94">
        <f>IF('Revisor A'!I94&lt;&gt;"",'Revisor A'!I94,IF('Revisor A'!H94="","não preenchido",IF(ABS(N('Revisor A'!H94)-N(INDEX(Gabarito!$C:$C,MATCH($A94,Gabarito!$A:$A,0))))&lt;=1,"confere","diverge")))</f>
        <v/>
      </c>
      <c r="E94">
        <f>IF('Revisor A'!K94&lt;&gt;"",'Revisor A'!K94,IF('Revisor A'!J94="","não preenchido",IF(LOWER(TRIM('Revisor A'!J94))=LOWER(TRIM(INDEX(Gabarito!$D:$D,MATCH($A94,Gabarito!$A:$A,0)))),"confere","diverge")))</f>
        <v/>
      </c>
      <c r="F94">
        <f>IF('Revisor A'!M94&lt;&gt;"",'Revisor A'!M94,IF('Revisor A'!L94="","não preenchido",IF(LOWER(TRIM('Revisor A'!L94))=LOWER(TRIM(INDEX(Gabarito!$E:$E,MATCH($A94,Gabarito!$A:$A,0)))),"confere","diverge")))</f>
        <v/>
      </c>
      <c r="G94">
        <f>IF('Revisor A'!O94&lt;&gt;"",'Revisor A'!O94,IF('Revisor A'!N94="","não preenchido",IF(LOWER(TRIM('Revisor A'!N94))=LOWER(TRIM(INDEX(Gabarito!$F:$F,MATCH($A94,Gabarito!$A:$A,0)))),"confere","diverge")))</f>
        <v/>
      </c>
      <c r="H94">
        <f>IF('Revisor A'!Q94&lt;&gt;"",'Revisor A'!Q94,IF('Revisor A'!P94="","não preenchido",IF(LOWER(TRIM('Revisor A'!P94))=LOWER(TRIM(INDEX(Gabarito!$G:$G,MATCH($A94,Gabarito!$A:$A,0)))),"confere","diverge")))</f>
        <v/>
      </c>
      <c r="I94">
        <f>IF('Revisor A'!S94&lt;&gt;"",'Revisor A'!S94,IF('Revisor A'!R94="","não preenchido",IF(LOWER(TRIM('Revisor A'!R94))=LOWER(TRIM(INDEX(Gabarito!$H:$H,MATCH($A94,Gabarito!$A:$A,0)))),"confere","diverge")))</f>
        <v/>
      </c>
      <c r="J94">
        <f>IF('Revisor A'!U94&lt;&gt;"",'Revisor A'!U94,IF('Revisor A'!T94="","não preenchido",IF(LOWER(TRIM('Revisor A'!T94))=LOWER(TRIM(INDEX(Gabarito!$I:$I,MATCH($A94,Gabarito!$A:$A,0)))),"confere","diverge")))</f>
        <v/>
      </c>
      <c r="K94">
        <f>IF('Revisor A'!W94&lt;&gt;"",'Revisor A'!W94,IF('Revisor A'!V94="","não preenchido",IF(LOWER(TRIM('Revisor A'!V94))=LOWER(TRIM(INDEX(Gabarito!$J:$J,MATCH($A94,Gabarito!$A:$A,0)))),"confere","diverge")))</f>
        <v/>
      </c>
      <c r="L94">
        <f>IF('Revisor A'!AB94="","não preenchido",'Revisor A'!AB94)</f>
        <v/>
      </c>
      <c r="M94">
        <f>IF('Revisor A'!AC94="","não preenchido",'Revisor A'!AC94)</f>
        <v/>
      </c>
      <c r="N94">
        <f>COUNTIF(C94:K94,"diverge")</f>
        <v/>
      </c>
      <c r="O94">
        <f>IF(COUNTIF(C94:K94,"não preenchido")=9,"não preenchido",IF(N94&gt;0,"diverge","confere"))</f>
        <v/>
      </c>
    </row>
    <row r="95">
      <c r="A95">
        <f>'Revisor A'!A95</f>
        <v/>
      </c>
      <c r="B95">
        <f>IFERROR(INDEX(Gabarito!$M:$M,MATCH($A95,Gabarito!$A:$A,0)),"")</f>
        <v/>
      </c>
      <c r="C95">
        <f>IF('Revisor A'!G95&lt;&gt;"",'Revisor A'!G95,IF('Revisor A'!F95="","não preenchido",IF(ABS(N('Revisor A'!F95)-N(INDEX(Gabarito!$B:$B,MATCH($A95,Gabarito!$A:$A,0))))&lt;=1,"confere","diverge")))</f>
        <v/>
      </c>
      <c r="D95">
        <f>IF('Revisor A'!I95&lt;&gt;"",'Revisor A'!I95,IF('Revisor A'!H95="","não preenchido",IF(ABS(N('Revisor A'!H95)-N(INDEX(Gabarito!$C:$C,MATCH($A95,Gabarito!$A:$A,0))))&lt;=1,"confere","diverge")))</f>
        <v/>
      </c>
      <c r="E95">
        <f>IF('Revisor A'!K95&lt;&gt;"",'Revisor A'!K95,IF('Revisor A'!J95="","não preenchido",IF(LOWER(TRIM('Revisor A'!J95))=LOWER(TRIM(INDEX(Gabarito!$D:$D,MATCH($A95,Gabarito!$A:$A,0)))),"confere","diverge")))</f>
        <v/>
      </c>
      <c r="F95">
        <f>IF('Revisor A'!M95&lt;&gt;"",'Revisor A'!M95,IF('Revisor A'!L95="","não preenchido",IF(LOWER(TRIM('Revisor A'!L95))=LOWER(TRIM(INDEX(Gabarito!$E:$E,MATCH($A95,Gabarito!$A:$A,0)))),"confere","diverge")))</f>
        <v/>
      </c>
      <c r="G95">
        <f>IF('Revisor A'!O95&lt;&gt;"",'Revisor A'!O95,IF('Revisor A'!N95="","não preenchido",IF(LOWER(TRIM('Revisor A'!N95))=LOWER(TRIM(INDEX(Gabarito!$F:$F,MATCH($A95,Gabarito!$A:$A,0)))),"confere","diverge")))</f>
        <v/>
      </c>
      <c r="H95">
        <f>IF('Revisor A'!Q95&lt;&gt;"",'Revisor A'!Q95,IF('Revisor A'!P95="","não preenchido",IF(LOWER(TRIM('Revisor A'!P95))=LOWER(TRIM(INDEX(Gabarito!$G:$G,MATCH($A95,Gabarito!$A:$A,0)))),"confere","diverge")))</f>
        <v/>
      </c>
      <c r="I95">
        <f>IF('Revisor A'!S95&lt;&gt;"",'Revisor A'!S95,IF('Revisor A'!R95="","não preenchido",IF(LOWER(TRIM('Revisor A'!R95))=LOWER(TRIM(INDEX(Gabarito!$H:$H,MATCH($A95,Gabarito!$A:$A,0)))),"confere","diverge")))</f>
        <v/>
      </c>
      <c r="J95">
        <f>IF('Revisor A'!U95&lt;&gt;"",'Revisor A'!U95,IF('Revisor A'!T95="","não preenchido",IF(LOWER(TRIM('Revisor A'!T95))=LOWER(TRIM(INDEX(Gabarito!$I:$I,MATCH($A95,Gabarito!$A:$A,0)))),"confere","diverge")))</f>
        <v/>
      </c>
      <c r="K95">
        <f>IF('Revisor A'!W95&lt;&gt;"",'Revisor A'!W95,IF('Revisor A'!V95="","não preenchido",IF(LOWER(TRIM('Revisor A'!V95))=LOWER(TRIM(INDEX(Gabarito!$J:$J,MATCH($A95,Gabarito!$A:$A,0)))),"confere","diverge")))</f>
        <v/>
      </c>
      <c r="L95">
        <f>IF('Revisor A'!AB95="","não preenchido",'Revisor A'!AB95)</f>
        <v/>
      </c>
      <c r="M95">
        <f>IF('Revisor A'!AC95="","não preenchido",'Revisor A'!AC95)</f>
        <v/>
      </c>
      <c r="N95">
        <f>COUNTIF(C95:K95,"diverge")</f>
        <v/>
      </c>
      <c r="O95">
        <f>IF(COUNTIF(C95:K95,"não preenchido")=9,"não preenchido",IF(N95&gt;0,"diverge","confere"))</f>
        <v/>
      </c>
    </row>
    <row r="96">
      <c r="A96">
        <f>'Revisor A'!A96</f>
        <v/>
      </c>
      <c r="B96">
        <f>IFERROR(INDEX(Gabarito!$M:$M,MATCH($A96,Gabarito!$A:$A,0)),"")</f>
        <v/>
      </c>
      <c r="C96">
        <f>IF('Revisor A'!G96&lt;&gt;"",'Revisor A'!G96,IF('Revisor A'!F96="","não preenchido",IF(ABS(N('Revisor A'!F96)-N(INDEX(Gabarito!$B:$B,MATCH($A96,Gabarito!$A:$A,0))))&lt;=1,"confere","diverge")))</f>
        <v/>
      </c>
      <c r="D96">
        <f>IF('Revisor A'!I96&lt;&gt;"",'Revisor A'!I96,IF('Revisor A'!H96="","não preenchido",IF(ABS(N('Revisor A'!H96)-N(INDEX(Gabarito!$C:$C,MATCH($A96,Gabarito!$A:$A,0))))&lt;=1,"confere","diverge")))</f>
        <v/>
      </c>
      <c r="E96">
        <f>IF('Revisor A'!K96&lt;&gt;"",'Revisor A'!K96,IF('Revisor A'!J96="","não preenchido",IF(LOWER(TRIM('Revisor A'!J96))=LOWER(TRIM(INDEX(Gabarito!$D:$D,MATCH($A96,Gabarito!$A:$A,0)))),"confere","diverge")))</f>
        <v/>
      </c>
      <c r="F96">
        <f>IF('Revisor A'!M96&lt;&gt;"",'Revisor A'!M96,IF('Revisor A'!L96="","não preenchido",IF(LOWER(TRIM('Revisor A'!L96))=LOWER(TRIM(INDEX(Gabarito!$E:$E,MATCH($A96,Gabarito!$A:$A,0)))),"confere","diverge")))</f>
        <v/>
      </c>
      <c r="G96">
        <f>IF('Revisor A'!O96&lt;&gt;"",'Revisor A'!O96,IF('Revisor A'!N96="","não preenchido",IF(LOWER(TRIM('Revisor A'!N96))=LOWER(TRIM(INDEX(Gabarito!$F:$F,MATCH($A96,Gabarito!$A:$A,0)))),"confere","diverge")))</f>
        <v/>
      </c>
      <c r="H96">
        <f>IF('Revisor A'!Q96&lt;&gt;"",'Revisor A'!Q96,IF('Revisor A'!P96="","não preenchido",IF(LOWER(TRIM('Revisor A'!P96))=LOWER(TRIM(INDEX(Gabarito!$G:$G,MATCH($A96,Gabarito!$A:$A,0)))),"confere","diverge")))</f>
        <v/>
      </c>
      <c r="I96">
        <f>IF('Revisor A'!S96&lt;&gt;"",'Revisor A'!S96,IF('Revisor A'!R96="","não preenchido",IF(LOWER(TRIM('Revisor A'!R96))=LOWER(TRIM(INDEX(Gabarito!$H:$H,MATCH($A96,Gabarito!$A:$A,0)))),"confere","diverge")))</f>
        <v/>
      </c>
      <c r="J96">
        <f>IF('Revisor A'!U96&lt;&gt;"",'Revisor A'!U96,IF('Revisor A'!T96="","não preenchido",IF(LOWER(TRIM('Revisor A'!T96))=LOWER(TRIM(INDEX(Gabarito!$I:$I,MATCH($A96,Gabarito!$A:$A,0)))),"confere","diverge")))</f>
        <v/>
      </c>
      <c r="K96">
        <f>IF('Revisor A'!W96&lt;&gt;"",'Revisor A'!W96,IF('Revisor A'!V96="","não preenchido",IF(LOWER(TRIM('Revisor A'!V96))=LOWER(TRIM(INDEX(Gabarito!$J:$J,MATCH($A96,Gabarito!$A:$A,0)))),"confere","diverge")))</f>
        <v/>
      </c>
      <c r="L96">
        <f>IF('Revisor A'!AB96="","não preenchido",'Revisor A'!AB96)</f>
        <v/>
      </c>
      <c r="M96">
        <f>IF('Revisor A'!AC96="","não preenchido",'Revisor A'!AC96)</f>
        <v/>
      </c>
      <c r="N96">
        <f>COUNTIF(C96:K96,"diverge")</f>
        <v/>
      </c>
      <c r="O96">
        <f>IF(COUNTIF(C96:K96,"não preenchido")=9,"não preenchido",IF(N96&gt;0,"diverge","confere"))</f>
        <v/>
      </c>
    </row>
    <row r="97">
      <c r="A97">
        <f>'Revisor A'!A97</f>
        <v/>
      </c>
      <c r="B97">
        <f>IFERROR(INDEX(Gabarito!$M:$M,MATCH($A97,Gabarito!$A:$A,0)),"")</f>
        <v/>
      </c>
      <c r="C97">
        <f>IF('Revisor A'!G97&lt;&gt;"",'Revisor A'!G97,IF('Revisor A'!F97="","não preenchido",IF(ABS(N('Revisor A'!F97)-N(INDEX(Gabarito!$B:$B,MATCH($A97,Gabarito!$A:$A,0))))&lt;=1,"confere","diverge")))</f>
        <v/>
      </c>
      <c r="D97">
        <f>IF('Revisor A'!I97&lt;&gt;"",'Revisor A'!I97,IF('Revisor A'!H97="","não preenchido",IF(ABS(N('Revisor A'!H97)-N(INDEX(Gabarito!$C:$C,MATCH($A97,Gabarito!$A:$A,0))))&lt;=1,"confere","diverge")))</f>
        <v/>
      </c>
      <c r="E97">
        <f>IF('Revisor A'!K97&lt;&gt;"",'Revisor A'!K97,IF('Revisor A'!J97="","não preenchido",IF(LOWER(TRIM('Revisor A'!J97))=LOWER(TRIM(INDEX(Gabarito!$D:$D,MATCH($A97,Gabarito!$A:$A,0)))),"confere","diverge")))</f>
        <v/>
      </c>
      <c r="F97">
        <f>IF('Revisor A'!M97&lt;&gt;"",'Revisor A'!M97,IF('Revisor A'!L97="","não preenchido",IF(LOWER(TRIM('Revisor A'!L97))=LOWER(TRIM(INDEX(Gabarito!$E:$E,MATCH($A97,Gabarito!$A:$A,0)))),"confere","diverge")))</f>
        <v/>
      </c>
      <c r="G97">
        <f>IF('Revisor A'!O97&lt;&gt;"",'Revisor A'!O97,IF('Revisor A'!N97="","não preenchido",IF(LOWER(TRIM('Revisor A'!N97))=LOWER(TRIM(INDEX(Gabarito!$F:$F,MATCH($A97,Gabarito!$A:$A,0)))),"confere","diverge")))</f>
        <v/>
      </c>
      <c r="H97">
        <f>IF('Revisor A'!Q97&lt;&gt;"",'Revisor A'!Q97,IF('Revisor A'!P97="","não preenchido",IF(LOWER(TRIM('Revisor A'!P97))=LOWER(TRIM(INDEX(Gabarito!$G:$G,MATCH($A97,Gabarito!$A:$A,0)))),"confere","diverge")))</f>
        <v/>
      </c>
      <c r="I97">
        <f>IF('Revisor A'!S97&lt;&gt;"",'Revisor A'!S97,IF('Revisor A'!R97="","não preenchido",IF(LOWER(TRIM('Revisor A'!R97))=LOWER(TRIM(INDEX(Gabarito!$H:$H,MATCH($A97,Gabarito!$A:$A,0)))),"confere","diverge")))</f>
        <v/>
      </c>
      <c r="J97">
        <f>IF('Revisor A'!U97&lt;&gt;"",'Revisor A'!U97,IF('Revisor A'!T97="","não preenchido",IF(LOWER(TRIM('Revisor A'!T97))=LOWER(TRIM(INDEX(Gabarito!$I:$I,MATCH($A97,Gabarito!$A:$A,0)))),"confere","diverge")))</f>
        <v/>
      </c>
      <c r="K97">
        <f>IF('Revisor A'!W97&lt;&gt;"",'Revisor A'!W97,IF('Revisor A'!V97="","não preenchido",IF(LOWER(TRIM('Revisor A'!V97))=LOWER(TRIM(INDEX(Gabarito!$J:$J,MATCH($A97,Gabarito!$A:$A,0)))),"confere","diverge")))</f>
        <v/>
      </c>
      <c r="L97">
        <f>IF('Revisor A'!AB97="","não preenchido",'Revisor A'!AB97)</f>
        <v/>
      </c>
      <c r="M97">
        <f>IF('Revisor A'!AC97="","não preenchido",'Revisor A'!AC97)</f>
        <v/>
      </c>
      <c r="N97">
        <f>COUNTIF(C97:K97,"diverge")</f>
        <v/>
      </c>
      <c r="O97">
        <f>IF(COUNTIF(C97:K97,"não preenchido")=9,"não preenchido",IF(N97&gt;0,"diverge","confere"))</f>
        <v/>
      </c>
    </row>
    <row r="98">
      <c r="A98">
        <f>'Revisor A'!A98</f>
        <v/>
      </c>
      <c r="B98">
        <f>IFERROR(INDEX(Gabarito!$M:$M,MATCH($A98,Gabarito!$A:$A,0)),"")</f>
        <v/>
      </c>
      <c r="C98">
        <f>IF('Revisor A'!G98&lt;&gt;"",'Revisor A'!G98,IF('Revisor A'!F98="","não preenchido",IF(ABS(N('Revisor A'!F98)-N(INDEX(Gabarito!$B:$B,MATCH($A98,Gabarito!$A:$A,0))))&lt;=1,"confere","diverge")))</f>
        <v/>
      </c>
      <c r="D98">
        <f>IF('Revisor A'!I98&lt;&gt;"",'Revisor A'!I98,IF('Revisor A'!H98="","não preenchido",IF(ABS(N('Revisor A'!H98)-N(INDEX(Gabarito!$C:$C,MATCH($A98,Gabarito!$A:$A,0))))&lt;=1,"confere","diverge")))</f>
        <v/>
      </c>
      <c r="E98">
        <f>IF('Revisor A'!K98&lt;&gt;"",'Revisor A'!K98,IF('Revisor A'!J98="","não preenchido",IF(LOWER(TRIM('Revisor A'!J98))=LOWER(TRIM(INDEX(Gabarito!$D:$D,MATCH($A98,Gabarito!$A:$A,0)))),"confere","diverge")))</f>
        <v/>
      </c>
      <c r="F98">
        <f>IF('Revisor A'!M98&lt;&gt;"",'Revisor A'!M98,IF('Revisor A'!L98="","não preenchido",IF(LOWER(TRIM('Revisor A'!L98))=LOWER(TRIM(INDEX(Gabarito!$E:$E,MATCH($A98,Gabarito!$A:$A,0)))),"confere","diverge")))</f>
        <v/>
      </c>
      <c r="G98">
        <f>IF('Revisor A'!O98&lt;&gt;"",'Revisor A'!O98,IF('Revisor A'!N98="","não preenchido",IF(LOWER(TRIM('Revisor A'!N98))=LOWER(TRIM(INDEX(Gabarito!$F:$F,MATCH($A98,Gabarito!$A:$A,0)))),"confere","diverge")))</f>
        <v/>
      </c>
      <c r="H98">
        <f>IF('Revisor A'!Q98&lt;&gt;"",'Revisor A'!Q98,IF('Revisor A'!P98="","não preenchido",IF(LOWER(TRIM('Revisor A'!P98))=LOWER(TRIM(INDEX(Gabarito!$G:$G,MATCH($A98,Gabarito!$A:$A,0)))),"confere","diverge")))</f>
        <v/>
      </c>
      <c r="I98">
        <f>IF('Revisor A'!S98&lt;&gt;"",'Revisor A'!S98,IF('Revisor A'!R98="","não preenchido",IF(LOWER(TRIM('Revisor A'!R98))=LOWER(TRIM(INDEX(Gabarito!$H:$H,MATCH($A98,Gabarito!$A:$A,0)))),"confere","diverge")))</f>
        <v/>
      </c>
      <c r="J98">
        <f>IF('Revisor A'!U98&lt;&gt;"",'Revisor A'!U98,IF('Revisor A'!T98="","não preenchido",IF(LOWER(TRIM('Revisor A'!T98))=LOWER(TRIM(INDEX(Gabarito!$I:$I,MATCH($A98,Gabarito!$A:$A,0)))),"confere","diverge")))</f>
        <v/>
      </c>
      <c r="K98">
        <f>IF('Revisor A'!W98&lt;&gt;"",'Revisor A'!W98,IF('Revisor A'!V98="","não preenchido",IF(LOWER(TRIM('Revisor A'!V98))=LOWER(TRIM(INDEX(Gabarito!$J:$J,MATCH($A98,Gabarito!$A:$A,0)))),"confere","diverge")))</f>
        <v/>
      </c>
      <c r="L98">
        <f>IF('Revisor A'!AB98="","não preenchido",'Revisor A'!AB98)</f>
        <v/>
      </c>
      <c r="M98">
        <f>IF('Revisor A'!AC98="","não preenchido",'Revisor A'!AC98)</f>
        <v/>
      </c>
      <c r="N98">
        <f>COUNTIF(C98:K98,"diverge")</f>
        <v/>
      </c>
      <c r="O98">
        <f>IF(COUNTIF(C98:K98,"não preenchido")=9,"não preenchido",IF(N98&gt;0,"diverge","confere"))</f>
        <v/>
      </c>
    </row>
    <row r="99">
      <c r="A99">
        <f>'Revisor A'!A99</f>
        <v/>
      </c>
      <c r="B99">
        <f>IFERROR(INDEX(Gabarito!$M:$M,MATCH($A99,Gabarito!$A:$A,0)),"")</f>
        <v/>
      </c>
      <c r="C99">
        <f>IF('Revisor A'!G99&lt;&gt;"",'Revisor A'!G99,IF('Revisor A'!F99="","não preenchido",IF(ABS(N('Revisor A'!F99)-N(INDEX(Gabarito!$B:$B,MATCH($A99,Gabarito!$A:$A,0))))&lt;=1,"confere","diverge")))</f>
        <v/>
      </c>
      <c r="D99">
        <f>IF('Revisor A'!I99&lt;&gt;"",'Revisor A'!I99,IF('Revisor A'!H99="","não preenchido",IF(ABS(N('Revisor A'!H99)-N(INDEX(Gabarito!$C:$C,MATCH($A99,Gabarito!$A:$A,0))))&lt;=1,"confere","diverge")))</f>
        <v/>
      </c>
      <c r="E99">
        <f>IF('Revisor A'!K99&lt;&gt;"",'Revisor A'!K99,IF('Revisor A'!J99="","não preenchido",IF(LOWER(TRIM('Revisor A'!J99))=LOWER(TRIM(INDEX(Gabarito!$D:$D,MATCH($A99,Gabarito!$A:$A,0)))),"confere","diverge")))</f>
        <v/>
      </c>
      <c r="F99">
        <f>IF('Revisor A'!M99&lt;&gt;"",'Revisor A'!M99,IF('Revisor A'!L99="","não preenchido",IF(LOWER(TRIM('Revisor A'!L99))=LOWER(TRIM(INDEX(Gabarito!$E:$E,MATCH($A99,Gabarito!$A:$A,0)))),"confere","diverge")))</f>
        <v/>
      </c>
      <c r="G99">
        <f>IF('Revisor A'!O99&lt;&gt;"",'Revisor A'!O99,IF('Revisor A'!N99="","não preenchido",IF(LOWER(TRIM('Revisor A'!N99))=LOWER(TRIM(INDEX(Gabarito!$F:$F,MATCH($A99,Gabarito!$A:$A,0)))),"confere","diverge")))</f>
        <v/>
      </c>
      <c r="H99">
        <f>IF('Revisor A'!Q99&lt;&gt;"",'Revisor A'!Q99,IF('Revisor A'!P99="","não preenchido",IF(LOWER(TRIM('Revisor A'!P99))=LOWER(TRIM(INDEX(Gabarito!$G:$G,MATCH($A99,Gabarito!$A:$A,0)))),"confere","diverge")))</f>
        <v/>
      </c>
      <c r="I99">
        <f>IF('Revisor A'!S99&lt;&gt;"",'Revisor A'!S99,IF('Revisor A'!R99="","não preenchido",IF(LOWER(TRIM('Revisor A'!R99))=LOWER(TRIM(INDEX(Gabarito!$H:$H,MATCH($A99,Gabarito!$A:$A,0)))),"confere","diverge")))</f>
        <v/>
      </c>
      <c r="J99">
        <f>IF('Revisor A'!U99&lt;&gt;"",'Revisor A'!U99,IF('Revisor A'!T99="","não preenchido",IF(LOWER(TRIM('Revisor A'!T99))=LOWER(TRIM(INDEX(Gabarito!$I:$I,MATCH($A99,Gabarito!$A:$A,0)))),"confere","diverge")))</f>
        <v/>
      </c>
      <c r="K99">
        <f>IF('Revisor A'!W99&lt;&gt;"",'Revisor A'!W99,IF('Revisor A'!V99="","não preenchido",IF(LOWER(TRIM('Revisor A'!V99))=LOWER(TRIM(INDEX(Gabarito!$J:$J,MATCH($A99,Gabarito!$A:$A,0)))),"confere","diverge")))</f>
        <v/>
      </c>
      <c r="L99">
        <f>IF('Revisor A'!AB99="","não preenchido",'Revisor A'!AB99)</f>
        <v/>
      </c>
      <c r="M99">
        <f>IF('Revisor A'!AC99="","não preenchido",'Revisor A'!AC99)</f>
        <v/>
      </c>
      <c r="N99">
        <f>COUNTIF(C99:K99,"diverge")</f>
        <v/>
      </c>
      <c r="O99">
        <f>IF(COUNTIF(C99:K99,"não preenchido")=9,"não preenchido",IF(N99&gt;0,"diverge","confere"))</f>
        <v/>
      </c>
    </row>
    <row r="100">
      <c r="A100">
        <f>'Revisor A'!A100</f>
        <v/>
      </c>
      <c r="B100">
        <f>IFERROR(INDEX(Gabarito!$M:$M,MATCH($A100,Gabarito!$A:$A,0)),"")</f>
        <v/>
      </c>
      <c r="C100">
        <f>IF('Revisor A'!G100&lt;&gt;"",'Revisor A'!G100,IF('Revisor A'!F100="","não preenchido",IF(ABS(N('Revisor A'!F100)-N(INDEX(Gabarito!$B:$B,MATCH($A100,Gabarito!$A:$A,0))))&lt;=1,"confere","diverge")))</f>
        <v/>
      </c>
      <c r="D100">
        <f>IF('Revisor A'!I100&lt;&gt;"",'Revisor A'!I100,IF('Revisor A'!H100="","não preenchido",IF(ABS(N('Revisor A'!H100)-N(INDEX(Gabarito!$C:$C,MATCH($A100,Gabarito!$A:$A,0))))&lt;=1,"confere","diverge")))</f>
        <v/>
      </c>
      <c r="E100">
        <f>IF('Revisor A'!K100&lt;&gt;"",'Revisor A'!K100,IF('Revisor A'!J100="","não preenchido",IF(LOWER(TRIM('Revisor A'!J100))=LOWER(TRIM(INDEX(Gabarito!$D:$D,MATCH($A100,Gabarito!$A:$A,0)))),"confere","diverge")))</f>
        <v/>
      </c>
      <c r="F100">
        <f>IF('Revisor A'!M100&lt;&gt;"",'Revisor A'!M100,IF('Revisor A'!L100="","não preenchido",IF(LOWER(TRIM('Revisor A'!L100))=LOWER(TRIM(INDEX(Gabarito!$E:$E,MATCH($A100,Gabarito!$A:$A,0)))),"confere","diverge")))</f>
        <v/>
      </c>
      <c r="G100">
        <f>IF('Revisor A'!O100&lt;&gt;"",'Revisor A'!O100,IF('Revisor A'!N100="","não preenchido",IF(LOWER(TRIM('Revisor A'!N100))=LOWER(TRIM(INDEX(Gabarito!$F:$F,MATCH($A100,Gabarito!$A:$A,0)))),"confere","diverge")))</f>
        <v/>
      </c>
      <c r="H100">
        <f>IF('Revisor A'!Q100&lt;&gt;"",'Revisor A'!Q100,IF('Revisor A'!P100="","não preenchido",IF(LOWER(TRIM('Revisor A'!P100))=LOWER(TRIM(INDEX(Gabarito!$G:$G,MATCH($A100,Gabarito!$A:$A,0)))),"confere","diverge")))</f>
        <v/>
      </c>
      <c r="I100">
        <f>IF('Revisor A'!S100&lt;&gt;"",'Revisor A'!S100,IF('Revisor A'!R100="","não preenchido",IF(LOWER(TRIM('Revisor A'!R100))=LOWER(TRIM(INDEX(Gabarito!$H:$H,MATCH($A100,Gabarito!$A:$A,0)))),"confere","diverge")))</f>
        <v/>
      </c>
      <c r="J100">
        <f>IF('Revisor A'!U100&lt;&gt;"",'Revisor A'!U100,IF('Revisor A'!T100="","não preenchido",IF(LOWER(TRIM('Revisor A'!T100))=LOWER(TRIM(INDEX(Gabarito!$I:$I,MATCH($A100,Gabarito!$A:$A,0)))),"confere","diverge")))</f>
        <v/>
      </c>
      <c r="K100">
        <f>IF('Revisor A'!W100&lt;&gt;"",'Revisor A'!W100,IF('Revisor A'!V100="","não preenchido",IF(LOWER(TRIM('Revisor A'!V100))=LOWER(TRIM(INDEX(Gabarito!$J:$J,MATCH($A100,Gabarito!$A:$A,0)))),"confere","diverge")))</f>
        <v/>
      </c>
      <c r="L100">
        <f>IF('Revisor A'!AB100="","não preenchido",'Revisor A'!AB100)</f>
        <v/>
      </c>
      <c r="M100">
        <f>IF('Revisor A'!AC100="","não preenchido",'Revisor A'!AC100)</f>
        <v/>
      </c>
      <c r="N100">
        <f>COUNTIF(C100:K100,"diverge")</f>
        <v/>
      </c>
      <c r="O100">
        <f>IF(COUNTIF(C100:K100,"não preenchido")=9,"não preenchido",IF(N100&gt;0,"diverge","confere"))</f>
        <v/>
      </c>
    </row>
    <row r="101">
      <c r="A101">
        <f>'Revisor A'!A101</f>
        <v/>
      </c>
      <c r="B101">
        <f>IFERROR(INDEX(Gabarito!$M:$M,MATCH($A101,Gabarito!$A:$A,0)),"")</f>
        <v/>
      </c>
      <c r="C101">
        <f>IF('Revisor A'!G101&lt;&gt;"",'Revisor A'!G101,IF('Revisor A'!F101="","não preenchido",IF(ABS(N('Revisor A'!F101)-N(INDEX(Gabarito!$B:$B,MATCH($A101,Gabarito!$A:$A,0))))&lt;=1,"confere","diverge")))</f>
        <v/>
      </c>
      <c r="D101">
        <f>IF('Revisor A'!I101&lt;&gt;"",'Revisor A'!I101,IF('Revisor A'!H101="","não preenchido",IF(ABS(N('Revisor A'!H101)-N(INDEX(Gabarito!$C:$C,MATCH($A101,Gabarito!$A:$A,0))))&lt;=1,"confere","diverge")))</f>
        <v/>
      </c>
      <c r="E101">
        <f>IF('Revisor A'!K101&lt;&gt;"",'Revisor A'!K101,IF('Revisor A'!J101="","não preenchido",IF(LOWER(TRIM('Revisor A'!J101))=LOWER(TRIM(INDEX(Gabarito!$D:$D,MATCH($A101,Gabarito!$A:$A,0)))),"confere","diverge")))</f>
        <v/>
      </c>
      <c r="F101">
        <f>IF('Revisor A'!M101&lt;&gt;"",'Revisor A'!M101,IF('Revisor A'!L101="","não preenchido",IF(LOWER(TRIM('Revisor A'!L101))=LOWER(TRIM(INDEX(Gabarito!$E:$E,MATCH($A101,Gabarito!$A:$A,0)))),"confere","diverge")))</f>
        <v/>
      </c>
      <c r="G101">
        <f>IF('Revisor A'!O101&lt;&gt;"",'Revisor A'!O101,IF('Revisor A'!N101="","não preenchido",IF(LOWER(TRIM('Revisor A'!N101))=LOWER(TRIM(INDEX(Gabarito!$F:$F,MATCH($A101,Gabarito!$A:$A,0)))),"confere","diverge")))</f>
        <v/>
      </c>
      <c r="H101">
        <f>IF('Revisor A'!Q101&lt;&gt;"",'Revisor A'!Q101,IF('Revisor A'!P101="","não preenchido",IF(LOWER(TRIM('Revisor A'!P101))=LOWER(TRIM(INDEX(Gabarito!$G:$G,MATCH($A101,Gabarito!$A:$A,0)))),"confere","diverge")))</f>
        <v/>
      </c>
      <c r="I101">
        <f>IF('Revisor A'!S101&lt;&gt;"",'Revisor A'!S101,IF('Revisor A'!R101="","não preenchido",IF(LOWER(TRIM('Revisor A'!R101))=LOWER(TRIM(INDEX(Gabarito!$H:$H,MATCH($A101,Gabarito!$A:$A,0)))),"confere","diverge")))</f>
        <v/>
      </c>
      <c r="J101">
        <f>IF('Revisor A'!U101&lt;&gt;"",'Revisor A'!U101,IF('Revisor A'!T101="","não preenchido",IF(LOWER(TRIM('Revisor A'!T101))=LOWER(TRIM(INDEX(Gabarito!$I:$I,MATCH($A101,Gabarito!$A:$A,0)))),"confere","diverge")))</f>
        <v/>
      </c>
      <c r="K101">
        <f>IF('Revisor A'!W101&lt;&gt;"",'Revisor A'!W101,IF('Revisor A'!V101="","não preenchido",IF(LOWER(TRIM('Revisor A'!V101))=LOWER(TRIM(INDEX(Gabarito!$J:$J,MATCH($A101,Gabarito!$A:$A,0)))),"confere","diverge")))</f>
        <v/>
      </c>
      <c r="L101">
        <f>IF('Revisor A'!AB101="","não preenchido",'Revisor A'!AB101)</f>
        <v/>
      </c>
      <c r="M101">
        <f>IF('Revisor A'!AC101="","não preenchido",'Revisor A'!AC101)</f>
        <v/>
      </c>
      <c r="N101">
        <f>COUNTIF(C101:K101,"diverge")</f>
        <v/>
      </c>
      <c r="O101">
        <f>IF(COUNTIF(C101:K101,"não preenchido")=9,"não preenchido",IF(N101&gt;0,"diverge","confere"))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2" customWidth="1" min="14" max="14"/>
    <col width="16"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s>
  <sheetData>
    <row r="1">
      <c r="A1" s="4" t="inlineStr">
        <is>
          <t>id</t>
        </is>
      </c>
      <c r="B1" s="4" t="inlineStr">
        <is>
          <t>estrato</t>
        </is>
      </c>
      <c r="C1" s="4" t="inlineStr">
        <is>
          <t>pena_min</t>
        </is>
      </c>
      <c r="D1" s="4" t="inlineStr">
        <is>
          <t>pena_max</t>
        </is>
      </c>
      <c r="E1" s="4" t="inlineStr">
        <is>
          <t>tipo_pena</t>
        </is>
      </c>
      <c r="F1" s="4" t="inlineStr">
        <is>
          <t>hediondo</t>
        </is>
      </c>
      <c r="G1" s="4" t="inlineStr">
        <is>
          <t>violencia</t>
        </is>
      </c>
      <c r="H1" s="4" t="inlineStr">
        <is>
          <t>grave_ameaca</t>
        </is>
      </c>
      <c r="I1" s="4" t="inlineStr">
        <is>
          <t>elemento</t>
        </is>
      </c>
      <c r="J1" s="4" t="inlineStr">
        <is>
          <t>tentativa</t>
        </is>
      </c>
      <c r="K1" s="4" t="inlineStr">
        <is>
          <t>acao</t>
        </is>
      </c>
      <c r="L1" s="4" t="inlineStr">
        <is>
          <t>nome</t>
        </is>
      </c>
      <c r="M1" s="4" t="inlineStr">
        <is>
          <t>vigência</t>
        </is>
      </c>
      <c r="N1" s="4" t="inlineStr">
        <is>
          <t>divergências S1</t>
        </is>
      </c>
      <c r="O1" s="4" t="inlineStr">
        <is>
          <t>saída do registro</t>
        </is>
      </c>
      <c r="P1" s="4" t="inlineStr">
        <is>
          <t>A: pena_min</t>
        </is>
      </c>
      <c r="Q1" s="4" t="inlineStr">
        <is>
          <t>A: pena_max</t>
        </is>
      </c>
      <c r="R1" s="4" t="inlineStr">
        <is>
          <t>A: tipo_pena</t>
        </is>
      </c>
      <c r="S1" s="4" t="inlineStr">
        <is>
          <t>A: hediondo</t>
        </is>
      </c>
      <c r="T1" s="4" t="inlineStr">
        <is>
          <t>A: violencia</t>
        </is>
      </c>
      <c r="U1" s="4" t="inlineStr">
        <is>
          <t>A: grave_ameaca</t>
        </is>
      </c>
      <c r="V1" s="4" t="inlineStr">
        <is>
          <t>A: elemento</t>
        </is>
      </c>
      <c r="W1" s="4" t="inlineStr">
        <is>
          <t>A: tentativa</t>
        </is>
      </c>
      <c r="X1" s="4" t="inlineStr">
        <is>
          <t>A: acao</t>
        </is>
      </c>
    </row>
    <row r="2">
      <c r="A2">
        <f>'Revisor B'!A2</f>
        <v/>
      </c>
      <c r="B2">
        <f>IFERROR(INDEX(Gabarito!$M:$M,MATCH($A2,Gabarito!$A:$A,0)),"")</f>
        <v/>
      </c>
      <c r="C2">
        <f>IF('Revisor B'!G2&lt;&gt;"",'Revisor B'!G2,IF('Revisor B'!F2="","não preenchido",IF(ABS(N('Revisor B'!F2)-N(INDEX(Gabarito!$B:$B,MATCH($A2,Gabarito!$A:$A,0))))&lt;=1,"confere","diverge")))</f>
        <v/>
      </c>
      <c r="D2">
        <f>IF('Revisor B'!I2&lt;&gt;"",'Revisor B'!I2,IF('Revisor B'!H2="","não preenchido",IF(ABS(N('Revisor B'!H2)-N(INDEX(Gabarito!$C:$C,MATCH($A2,Gabarito!$A:$A,0))))&lt;=1,"confere","diverge")))</f>
        <v/>
      </c>
      <c r="E2">
        <f>IF('Revisor B'!K2&lt;&gt;"",'Revisor B'!K2,IF('Revisor B'!J2="","não preenchido",IF(LOWER(TRIM('Revisor B'!J2))=LOWER(TRIM(INDEX(Gabarito!$D:$D,MATCH($A2,Gabarito!$A:$A,0)))),"confere","diverge")))</f>
        <v/>
      </c>
      <c r="F2">
        <f>IF('Revisor B'!M2&lt;&gt;"",'Revisor B'!M2,IF('Revisor B'!L2="","não preenchido",IF(LOWER(TRIM('Revisor B'!L2))=LOWER(TRIM(INDEX(Gabarito!$E:$E,MATCH($A2,Gabarito!$A:$A,0)))),"confere","diverge")))</f>
        <v/>
      </c>
      <c r="G2">
        <f>IF('Revisor B'!O2&lt;&gt;"",'Revisor B'!O2,IF('Revisor B'!N2="","não preenchido",IF(LOWER(TRIM('Revisor B'!N2))=LOWER(TRIM(INDEX(Gabarito!$F:$F,MATCH($A2,Gabarito!$A:$A,0)))),"confere","diverge")))</f>
        <v/>
      </c>
      <c r="H2">
        <f>IF('Revisor B'!Q2&lt;&gt;"",'Revisor B'!Q2,IF('Revisor B'!P2="","não preenchido",IF(LOWER(TRIM('Revisor B'!P2))=LOWER(TRIM(INDEX(Gabarito!$G:$G,MATCH($A2,Gabarito!$A:$A,0)))),"confere","diverge")))</f>
        <v/>
      </c>
      <c r="I2">
        <f>IF('Revisor B'!S2&lt;&gt;"",'Revisor B'!S2,IF('Revisor B'!R2="","não preenchido",IF(LOWER(TRIM('Revisor B'!R2))=LOWER(TRIM(INDEX(Gabarito!$H:$H,MATCH($A2,Gabarito!$A:$A,0)))),"confere","diverge")))</f>
        <v/>
      </c>
      <c r="J2">
        <f>IF('Revisor B'!U2&lt;&gt;"",'Revisor B'!U2,IF('Revisor B'!T2="","não preenchido",IF(LOWER(TRIM('Revisor B'!T2))=LOWER(TRIM(INDEX(Gabarito!$I:$I,MATCH($A2,Gabarito!$A:$A,0)))),"confere","diverge")))</f>
        <v/>
      </c>
      <c r="K2">
        <f>IF('Revisor B'!W2&lt;&gt;"",'Revisor B'!W2,IF('Revisor B'!V2="","não preenchido",IF(LOWER(TRIM('Revisor B'!V2))=LOWER(TRIM(INDEX(Gabarito!$J:$J,MATCH($A2,Gabarito!$A:$A,0)))),"confere","diverge")))</f>
        <v/>
      </c>
      <c r="L2">
        <f>IF('Revisor B'!AB2="","não preenchido",'Revisor B'!AB2)</f>
        <v/>
      </c>
      <c r="M2">
        <f>IF('Revisor B'!AC2="","não preenchido",'Revisor B'!AC2)</f>
        <v/>
      </c>
      <c r="N2">
        <f>COUNTIF(C2:K2,"diverge")</f>
        <v/>
      </c>
      <c r="O2">
        <f>IF(COUNTIF(C2:K2,"não preenchido")=9,"não preenchido",IF(N2&gt;0,"diverge","confere"))</f>
        <v/>
      </c>
      <c r="P2">
        <f>IFERROR(INDEX('Apuração A'!$C$2:$C$101,MATCH($A2,'Apuração A'!$A$2:$A$101,0)),"")</f>
        <v/>
      </c>
      <c r="Q2">
        <f>IFERROR(INDEX('Apuração A'!$D$2:$D$101,MATCH($A2,'Apuração A'!$A$2:$A$101,0)),"")</f>
        <v/>
      </c>
      <c r="R2">
        <f>IFERROR(INDEX('Apuração A'!$E$2:$E$101,MATCH($A2,'Apuração A'!$A$2:$A$101,0)),"")</f>
        <v/>
      </c>
      <c r="S2">
        <f>IFERROR(INDEX('Apuração A'!$F$2:$F$101,MATCH($A2,'Apuração A'!$A$2:$A$101,0)),"")</f>
        <v/>
      </c>
      <c r="T2">
        <f>IFERROR(INDEX('Apuração A'!$G$2:$G$101,MATCH($A2,'Apuração A'!$A$2:$A$101,0)),"")</f>
        <v/>
      </c>
      <c r="U2">
        <f>IFERROR(INDEX('Apuração A'!$H$2:$H$101,MATCH($A2,'Apuração A'!$A$2:$A$101,0)),"")</f>
        <v/>
      </c>
      <c r="V2">
        <f>IFERROR(INDEX('Apuração A'!$I$2:$I$101,MATCH($A2,'Apuração A'!$A$2:$A$101,0)),"")</f>
        <v/>
      </c>
      <c r="W2">
        <f>IFERROR(INDEX('Apuração A'!$J$2:$J$101,MATCH($A2,'Apuração A'!$A$2:$A$101,0)),"")</f>
        <v/>
      </c>
      <c r="X2">
        <f>IFERROR(INDEX('Apuração A'!$K$2:$K$101,MATCH($A2,'Apuração A'!$A$2:$A$101,0)),"")</f>
        <v/>
      </c>
    </row>
    <row r="3">
      <c r="A3">
        <f>'Revisor B'!A3</f>
        <v/>
      </c>
      <c r="B3">
        <f>IFERROR(INDEX(Gabarito!$M:$M,MATCH($A3,Gabarito!$A:$A,0)),"")</f>
        <v/>
      </c>
      <c r="C3">
        <f>IF('Revisor B'!G3&lt;&gt;"",'Revisor B'!G3,IF('Revisor B'!F3="","não preenchido",IF(ABS(N('Revisor B'!F3)-N(INDEX(Gabarito!$B:$B,MATCH($A3,Gabarito!$A:$A,0))))&lt;=1,"confere","diverge")))</f>
        <v/>
      </c>
      <c r="D3">
        <f>IF('Revisor B'!I3&lt;&gt;"",'Revisor B'!I3,IF('Revisor B'!H3="","não preenchido",IF(ABS(N('Revisor B'!H3)-N(INDEX(Gabarito!$C:$C,MATCH($A3,Gabarito!$A:$A,0))))&lt;=1,"confere","diverge")))</f>
        <v/>
      </c>
      <c r="E3">
        <f>IF('Revisor B'!K3&lt;&gt;"",'Revisor B'!K3,IF('Revisor B'!J3="","não preenchido",IF(LOWER(TRIM('Revisor B'!J3))=LOWER(TRIM(INDEX(Gabarito!$D:$D,MATCH($A3,Gabarito!$A:$A,0)))),"confere","diverge")))</f>
        <v/>
      </c>
      <c r="F3">
        <f>IF('Revisor B'!M3&lt;&gt;"",'Revisor B'!M3,IF('Revisor B'!L3="","não preenchido",IF(LOWER(TRIM('Revisor B'!L3))=LOWER(TRIM(INDEX(Gabarito!$E:$E,MATCH($A3,Gabarito!$A:$A,0)))),"confere","diverge")))</f>
        <v/>
      </c>
      <c r="G3">
        <f>IF('Revisor B'!O3&lt;&gt;"",'Revisor B'!O3,IF('Revisor B'!N3="","não preenchido",IF(LOWER(TRIM('Revisor B'!N3))=LOWER(TRIM(INDEX(Gabarito!$F:$F,MATCH($A3,Gabarito!$A:$A,0)))),"confere","diverge")))</f>
        <v/>
      </c>
      <c r="H3">
        <f>IF('Revisor B'!Q3&lt;&gt;"",'Revisor B'!Q3,IF('Revisor B'!P3="","não preenchido",IF(LOWER(TRIM('Revisor B'!P3))=LOWER(TRIM(INDEX(Gabarito!$G:$G,MATCH($A3,Gabarito!$A:$A,0)))),"confere","diverge")))</f>
        <v/>
      </c>
      <c r="I3">
        <f>IF('Revisor B'!S3&lt;&gt;"",'Revisor B'!S3,IF('Revisor B'!R3="","não preenchido",IF(LOWER(TRIM('Revisor B'!R3))=LOWER(TRIM(INDEX(Gabarito!$H:$H,MATCH($A3,Gabarito!$A:$A,0)))),"confere","diverge")))</f>
        <v/>
      </c>
      <c r="J3">
        <f>IF('Revisor B'!U3&lt;&gt;"",'Revisor B'!U3,IF('Revisor B'!T3="","não preenchido",IF(LOWER(TRIM('Revisor B'!T3))=LOWER(TRIM(INDEX(Gabarito!$I:$I,MATCH($A3,Gabarito!$A:$A,0)))),"confere","diverge")))</f>
        <v/>
      </c>
      <c r="K3">
        <f>IF('Revisor B'!W3&lt;&gt;"",'Revisor B'!W3,IF('Revisor B'!V3="","não preenchido",IF(LOWER(TRIM('Revisor B'!V3))=LOWER(TRIM(INDEX(Gabarito!$J:$J,MATCH($A3,Gabarito!$A:$A,0)))),"confere","diverge")))</f>
        <v/>
      </c>
      <c r="L3">
        <f>IF('Revisor B'!AB3="","não preenchido",'Revisor B'!AB3)</f>
        <v/>
      </c>
      <c r="M3">
        <f>IF('Revisor B'!AC3="","não preenchido",'Revisor B'!AC3)</f>
        <v/>
      </c>
      <c r="N3">
        <f>COUNTIF(C3:K3,"diverge")</f>
        <v/>
      </c>
      <c r="O3">
        <f>IF(COUNTIF(C3:K3,"não preenchido")=9,"não preenchido",IF(N3&gt;0,"diverge","confere"))</f>
        <v/>
      </c>
      <c r="P3">
        <f>IFERROR(INDEX('Apuração A'!$C$2:$C$101,MATCH($A3,'Apuração A'!$A$2:$A$101,0)),"")</f>
        <v/>
      </c>
      <c r="Q3">
        <f>IFERROR(INDEX('Apuração A'!$D$2:$D$101,MATCH($A3,'Apuração A'!$A$2:$A$101,0)),"")</f>
        <v/>
      </c>
      <c r="R3">
        <f>IFERROR(INDEX('Apuração A'!$E$2:$E$101,MATCH($A3,'Apuração A'!$A$2:$A$101,0)),"")</f>
        <v/>
      </c>
      <c r="S3">
        <f>IFERROR(INDEX('Apuração A'!$F$2:$F$101,MATCH($A3,'Apuração A'!$A$2:$A$101,0)),"")</f>
        <v/>
      </c>
      <c r="T3">
        <f>IFERROR(INDEX('Apuração A'!$G$2:$G$101,MATCH($A3,'Apuração A'!$A$2:$A$101,0)),"")</f>
        <v/>
      </c>
      <c r="U3">
        <f>IFERROR(INDEX('Apuração A'!$H$2:$H$101,MATCH($A3,'Apuração A'!$A$2:$A$101,0)),"")</f>
        <v/>
      </c>
      <c r="V3">
        <f>IFERROR(INDEX('Apuração A'!$I$2:$I$101,MATCH($A3,'Apuração A'!$A$2:$A$101,0)),"")</f>
        <v/>
      </c>
      <c r="W3">
        <f>IFERROR(INDEX('Apuração A'!$J$2:$J$101,MATCH($A3,'Apuração A'!$A$2:$A$101,0)),"")</f>
        <v/>
      </c>
      <c r="X3">
        <f>IFERROR(INDEX('Apuração A'!$K$2:$K$101,MATCH($A3,'Apuração A'!$A$2:$A$101,0)),"")</f>
        <v/>
      </c>
    </row>
    <row r="4">
      <c r="A4">
        <f>'Revisor B'!A4</f>
        <v/>
      </c>
      <c r="B4">
        <f>IFERROR(INDEX(Gabarito!$M:$M,MATCH($A4,Gabarito!$A:$A,0)),"")</f>
        <v/>
      </c>
      <c r="C4">
        <f>IF('Revisor B'!G4&lt;&gt;"",'Revisor B'!G4,IF('Revisor B'!F4="","não preenchido",IF(ABS(N('Revisor B'!F4)-N(INDEX(Gabarito!$B:$B,MATCH($A4,Gabarito!$A:$A,0))))&lt;=1,"confere","diverge")))</f>
        <v/>
      </c>
      <c r="D4">
        <f>IF('Revisor B'!I4&lt;&gt;"",'Revisor B'!I4,IF('Revisor B'!H4="","não preenchido",IF(ABS(N('Revisor B'!H4)-N(INDEX(Gabarito!$C:$C,MATCH($A4,Gabarito!$A:$A,0))))&lt;=1,"confere","diverge")))</f>
        <v/>
      </c>
      <c r="E4">
        <f>IF('Revisor B'!K4&lt;&gt;"",'Revisor B'!K4,IF('Revisor B'!J4="","não preenchido",IF(LOWER(TRIM('Revisor B'!J4))=LOWER(TRIM(INDEX(Gabarito!$D:$D,MATCH($A4,Gabarito!$A:$A,0)))),"confere","diverge")))</f>
        <v/>
      </c>
      <c r="F4">
        <f>IF('Revisor B'!M4&lt;&gt;"",'Revisor B'!M4,IF('Revisor B'!L4="","não preenchido",IF(LOWER(TRIM('Revisor B'!L4))=LOWER(TRIM(INDEX(Gabarito!$E:$E,MATCH($A4,Gabarito!$A:$A,0)))),"confere","diverge")))</f>
        <v/>
      </c>
      <c r="G4">
        <f>IF('Revisor B'!O4&lt;&gt;"",'Revisor B'!O4,IF('Revisor B'!N4="","não preenchido",IF(LOWER(TRIM('Revisor B'!N4))=LOWER(TRIM(INDEX(Gabarito!$F:$F,MATCH($A4,Gabarito!$A:$A,0)))),"confere","diverge")))</f>
        <v/>
      </c>
      <c r="H4">
        <f>IF('Revisor B'!Q4&lt;&gt;"",'Revisor B'!Q4,IF('Revisor B'!P4="","não preenchido",IF(LOWER(TRIM('Revisor B'!P4))=LOWER(TRIM(INDEX(Gabarito!$G:$G,MATCH($A4,Gabarito!$A:$A,0)))),"confere","diverge")))</f>
        <v/>
      </c>
      <c r="I4">
        <f>IF('Revisor B'!S4&lt;&gt;"",'Revisor B'!S4,IF('Revisor B'!R4="","não preenchido",IF(LOWER(TRIM('Revisor B'!R4))=LOWER(TRIM(INDEX(Gabarito!$H:$H,MATCH($A4,Gabarito!$A:$A,0)))),"confere","diverge")))</f>
        <v/>
      </c>
      <c r="J4">
        <f>IF('Revisor B'!U4&lt;&gt;"",'Revisor B'!U4,IF('Revisor B'!T4="","não preenchido",IF(LOWER(TRIM('Revisor B'!T4))=LOWER(TRIM(INDEX(Gabarito!$I:$I,MATCH($A4,Gabarito!$A:$A,0)))),"confere","diverge")))</f>
        <v/>
      </c>
      <c r="K4">
        <f>IF('Revisor B'!W4&lt;&gt;"",'Revisor B'!W4,IF('Revisor B'!V4="","não preenchido",IF(LOWER(TRIM('Revisor B'!V4))=LOWER(TRIM(INDEX(Gabarito!$J:$J,MATCH($A4,Gabarito!$A:$A,0)))),"confere","diverge")))</f>
        <v/>
      </c>
      <c r="L4">
        <f>IF('Revisor B'!AB4="","não preenchido",'Revisor B'!AB4)</f>
        <v/>
      </c>
      <c r="M4">
        <f>IF('Revisor B'!AC4="","não preenchido",'Revisor B'!AC4)</f>
        <v/>
      </c>
      <c r="N4">
        <f>COUNTIF(C4:K4,"diverge")</f>
        <v/>
      </c>
      <c r="O4">
        <f>IF(COUNTIF(C4:K4,"não preenchido")=9,"não preenchido",IF(N4&gt;0,"diverge","confere"))</f>
        <v/>
      </c>
      <c r="P4">
        <f>IFERROR(INDEX('Apuração A'!$C$2:$C$101,MATCH($A4,'Apuração A'!$A$2:$A$101,0)),"")</f>
        <v/>
      </c>
      <c r="Q4">
        <f>IFERROR(INDEX('Apuração A'!$D$2:$D$101,MATCH($A4,'Apuração A'!$A$2:$A$101,0)),"")</f>
        <v/>
      </c>
      <c r="R4">
        <f>IFERROR(INDEX('Apuração A'!$E$2:$E$101,MATCH($A4,'Apuração A'!$A$2:$A$101,0)),"")</f>
        <v/>
      </c>
      <c r="S4">
        <f>IFERROR(INDEX('Apuração A'!$F$2:$F$101,MATCH($A4,'Apuração A'!$A$2:$A$101,0)),"")</f>
        <v/>
      </c>
      <c r="T4">
        <f>IFERROR(INDEX('Apuração A'!$G$2:$G$101,MATCH($A4,'Apuração A'!$A$2:$A$101,0)),"")</f>
        <v/>
      </c>
      <c r="U4">
        <f>IFERROR(INDEX('Apuração A'!$H$2:$H$101,MATCH($A4,'Apuração A'!$A$2:$A$101,0)),"")</f>
        <v/>
      </c>
      <c r="V4">
        <f>IFERROR(INDEX('Apuração A'!$I$2:$I$101,MATCH($A4,'Apuração A'!$A$2:$A$101,0)),"")</f>
        <v/>
      </c>
      <c r="W4">
        <f>IFERROR(INDEX('Apuração A'!$J$2:$J$101,MATCH($A4,'Apuração A'!$A$2:$A$101,0)),"")</f>
        <v/>
      </c>
      <c r="X4">
        <f>IFERROR(INDEX('Apuração A'!$K$2:$K$101,MATCH($A4,'Apuração A'!$A$2:$A$101,0)),"")</f>
        <v/>
      </c>
    </row>
    <row r="5">
      <c r="A5">
        <f>'Revisor B'!A5</f>
        <v/>
      </c>
      <c r="B5">
        <f>IFERROR(INDEX(Gabarito!$M:$M,MATCH($A5,Gabarito!$A:$A,0)),"")</f>
        <v/>
      </c>
      <c r="C5">
        <f>IF('Revisor B'!G5&lt;&gt;"",'Revisor B'!G5,IF('Revisor B'!F5="","não preenchido",IF(ABS(N('Revisor B'!F5)-N(INDEX(Gabarito!$B:$B,MATCH($A5,Gabarito!$A:$A,0))))&lt;=1,"confere","diverge")))</f>
        <v/>
      </c>
      <c r="D5">
        <f>IF('Revisor B'!I5&lt;&gt;"",'Revisor B'!I5,IF('Revisor B'!H5="","não preenchido",IF(ABS(N('Revisor B'!H5)-N(INDEX(Gabarito!$C:$C,MATCH($A5,Gabarito!$A:$A,0))))&lt;=1,"confere","diverge")))</f>
        <v/>
      </c>
      <c r="E5">
        <f>IF('Revisor B'!K5&lt;&gt;"",'Revisor B'!K5,IF('Revisor B'!J5="","não preenchido",IF(LOWER(TRIM('Revisor B'!J5))=LOWER(TRIM(INDEX(Gabarito!$D:$D,MATCH($A5,Gabarito!$A:$A,0)))),"confere","diverge")))</f>
        <v/>
      </c>
      <c r="F5">
        <f>IF('Revisor B'!M5&lt;&gt;"",'Revisor B'!M5,IF('Revisor B'!L5="","não preenchido",IF(LOWER(TRIM('Revisor B'!L5))=LOWER(TRIM(INDEX(Gabarito!$E:$E,MATCH($A5,Gabarito!$A:$A,0)))),"confere","diverge")))</f>
        <v/>
      </c>
      <c r="G5">
        <f>IF('Revisor B'!O5&lt;&gt;"",'Revisor B'!O5,IF('Revisor B'!N5="","não preenchido",IF(LOWER(TRIM('Revisor B'!N5))=LOWER(TRIM(INDEX(Gabarito!$F:$F,MATCH($A5,Gabarito!$A:$A,0)))),"confere","diverge")))</f>
        <v/>
      </c>
      <c r="H5">
        <f>IF('Revisor B'!Q5&lt;&gt;"",'Revisor B'!Q5,IF('Revisor B'!P5="","não preenchido",IF(LOWER(TRIM('Revisor B'!P5))=LOWER(TRIM(INDEX(Gabarito!$G:$G,MATCH($A5,Gabarito!$A:$A,0)))),"confere","diverge")))</f>
        <v/>
      </c>
      <c r="I5">
        <f>IF('Revisor B'!S5&lt;&gt;"",'Revisor B'!S5,IF('Revisor B'!R5="","não preenchido",IF(LOWER(TRIM('Revisor B'!R5))=LOWER(TRIM(INDEX(Gabarito!$H:$H,MATCH($A5,Gabarito!$A:$A,0)))),"confere","diverge")))</f>
        <v/>
      </c>
      <c r="J5">
        <f>IF('Revisor B'!U5&lt;&gt;"",'Revisor B'!U5,IF('Revisor B'!T5="","não preenchido",IF(LOWER(TRIM('Revisor B'!T5))=LOWER(TRIM(INDEX(Gabarito!$I:$I,MATCH($A5,Gabarito!$A:$A,0)))),"confere","diverge")))</f>
        <v/>
      </c>
      <c r="K5">
        <f>IF('Revisor B'!W5&lt;&gt;"",'Revisor B'!W5,IF('Revisor B'!V5="","não preenchido",IF(LOWER(TRIM('Revisor B'!V5))=LOWER(TRIM(INDEX(Gabarito!$J:$J,MATCH($A5,Gabarito!$A:$A,0)))),"confere","diverge")))</f>
        <v/>
      </c>
      <c r="L5">
        <f>IF('Revisor B'!AB5="","não preenchido",'Revisor B'!AB5)</f>
        <v/>
      </c>
      <c r="M5">
        <f>IF('Revisor B'!AC5="","não preenchido",'Revisor B'!AC5)</f>
        <v/>
      </c>
      <c r="N5">
        <f>COUNTIF(C5:K5,"diverge")</f>
        <v/>
      </c>
      <c r="O5">
        <f>IF(COUNTIF(C5:K5,"não preenchido")=9,"não preenchido",IF(N5&gt;0,"diverge","confere"))</f>
        <v/>
      </c>
      <c r="P5">
        <f>IFERROR(INDEX('Apuração A'!$C$2:$C$101,MATCH($A5,'Apuração A'!$A$2:$A$101,0)),"")</f>
        <v/>
      </c>
      <c r="Q5">
        <f>IFERROR(INDEX('Apuração A'!$D$2:$D$101,MATCH($A5,'Apuração A'!$A$2:$A$101,0)),"")</f>
        <v/>
      </c>
      <c r="R5">
        <f>IFERROR(INDEX('Apuração A'!$E$2:$E$101,MATCH($A5,'Apuração A'!$A$2:$A$101,0)),"")</f>
        <v/>
      </c>
      <c r="S5">
        <f>IFERROR(INDEX('Apuração A'!$F$2:$F$101,MATCH($A5,'Apuração A'!$A$2:$A$101,0)),"")</f>
        <v/>
      </c>
      <c r="T5">
        <f>IFERROR(INDEX('Apuração A'!$G$2:$G$101,MATCH($A5,'Apuração A'!$A$2:$A$101,0)),"")</f>
        <v/>
      </c>
      <c r="U5">
        <f>IFERROR(INDEX('Apuração A'!$H$2:$H$101,MATCH($A5,'Apuração A'!$A$2:$A$101,0)),"")</f>
        <v/>
      </c>
      <c r="V5">
        <f>IFERROR(INDEX('Apuração A'!$I$2:$I$101,MATCH($A5,'Apuração A'!$A$2:$A$101,0)),"")</f>
        <v/>
      </c>
      <c r="W5">
        <f>IFERROR(INDEX('Apuração A'!$J$2:$J$101,MATCH($A5,'Apuração A'!$A$2:$A$101,0)),"")</f>
        <v/>
      </c>
      <c r="X5">
        <f>IFERROR(INDEX('Apuração A'!$K$2:$K$101,MATCH($A5,'Apuração A'!$A$2:$A$101,0)),"")</f>
        <v/>
      </c>
    </row>
    <row r="6">
      <c r="A6">
        <f>'Revisor B'!A6</f>
        <v/>
      </c>
      <c r="B6">
        <f>IFERROR(INDEX(Gabarito!$M:$M,MATCH($A6,Gabarito!$A:$A,0)),"")</f>
        <v/>
      </c>
      <c r="C6">
        <f>IF('Revisor B'!G6&lt;&gt;"",'Revisor B'!G6,IF('Revisor B'!F6="","não preenchido",IF(ABS(N('Revisor B'!F6)-N(INDEX(Gabarito!$B:$B,MATCH($A6,Gabarito!$A:$A,0))))&lt;=1,"confere","diverge")))</f>
        <v/>
      </c>
      <c r="D6">
        <f>IF('Revisor B'!I6&lt;&gt;"",'Revisor B'!I6,IF('Revisor B'!H6="","não preenchido",IF(ABS(N('Revisor B'!H6)-N(INDEX(Gabarito!$C:$C,MATCH($A6,Gabarito!$A:$A,0))))&lt;=1,"confere","diverge")))</f>
        <v/>
      </c>
      <c r="E6">
        <f>IF('Revisor B'!K6&lt;&gt;"",'Revisor B'!K6,IF('Revisor B'!J6="","não preenchido",IF(LOWER(TRIM('Revisor B'!J6))=LOWER(TRIM(INDEX(Gabarito!$D:$D,MATCH($A6,Gabarito!$A:$A,0)))),"confere","diverge")))</f>
        <v/>
      </c>
      <c r="F6">
        <f>IF('Revisor B'!M6&lt;&gt;"",'Revisor B'!M6,IF('Revisor B'!L6="","não preenchido",IF(LOWER(TRIM('Revisor B'!L6))=LOWER(TRIM(INDEX(Gabarito!$E:$E,MATCH($A6,Gabarito!$A:$A,0)))),"confere","diverge")))</f>
        <v/>
      </c>
      <c r="G6">
        <f>IF('Revisor B'!O6&lt;&gt;"",'Revisor B'!O6,IF('Revisor B'!N6="","não preenchido",IF(LOWER(TRIM('Revisor B'!N6))=LOWER(TRIM(INDEX(Gabarito!$F:$F,MATCH($A6,Gabarito!$A:$A,0)))),"confere","diverge")))</f>
        <v/>
      </c>
      <c r="H6">
        <f>IF('Revisor B'!Q6&lt;&gt;"",'Revisor B'!Q6,IF('Revisor B'!P6="","não preenchido",IF(LOWER(TRIM('Revisor B'!P6))=LOWER(TRIM(INDEX(Gabarito!$G:$G,MATCH($A6,Gabarito!$A:$A,0)))),"confere","diverge")))</f>
        <v/>
      </c>
      <c r="I6">
        <f>IF('Revisor B'!S6&lt;&gt;"",'Revisor B'!S6,IF('Revisor B'!R6="","não preenchido",IF(LOWER(TRIM('Revisor B'!R6))=LOWER(TRIM(INDEX(Gabarito!$H:$H,MATCH($A6,Gabarito!$A:$A,0)))),"confere","diverge")))</f>
        <v/>
      </c>
      <c r="J6">
        <f>IF('Revisor B'!U6&lt;&gt;"",'Revisor B'!U6,IF('Revisor B'!T6="","não preenchido",IF(LOWER(TRIM('Revisor B'!T6))=LOWER(TRIM(INDEX(Gabarito!$I:$I,MATCH($A6,Gabarito!$A:$A,0)))),"confere","diverge")))</f>
        <v/>
      </c>
      <c r="K6">
        <f>IF('Revisor B'!W6&lt;&gt;"",'Revisor B'!W6,IF('Revisor B'!V6="","não preenchido",IF(LOWER(TRIM('Revisor B'!V6))=LOWER(TRIM(INDEX(Gabarito!$J:$J,MATCH($A6,Gabarito!$A:$A,0)))),"confere","diverge")))</f>
        <v/>
      </c>
      <c r="L6">
        <f>IF('Revisor B'!AB6="","não preenchido",'Revisor B'!AB6)</f>
        <v/>
      </c>
      <c r="M6">
        <f>IF('Revisor B'!AC6="","não preenchido",'Revisor B'!AC6)</f>
        <v/>
      </c>
      <c r="N6">
        <f>COUNTIF(C6:K6,"diverge")</f>
        <v/>
      </c>
      <c r="O6">
        <f>IF(COUNTIF(C6:K6,"não preenchido")=9,"não preenchido",IF(N6&gt;0,"diverge","confere"))</f>
        <v/>
      </c>
      <c r="P6">
        <f>IFERROR(INDEX('Apuração A'!$C$2:$C$101,MATCH($A6,'Apuração A'!$A$2:$A$101,0)),"")</f>
        <v/>
      </c>
      <c r="Q6">
        <f>IFERROR(INDEX('Apuração A'!$D$2:$D$101,MATCH($A6,'Apuração A'!$A$2:$A$101,0)),"")</f>
        <v/>
      </c>
      <c r="R6">
        <f>IFERROR(INDEX('Apuração A'!$E$2:$E$101,MATCH($A6,'Apuração A'!$A$2:$A$101,0)),"")</f>
        <v/>
      </c>
      <c r="S6">
        <f>IFERROR(INDEX('Apuração A'!$F$2:$F$101,MATCH($A6,'Apuração A'!$A$2:$A$101,0)),"")</f>
        <v/>
      </c>
      <c r="T6">
        <f>IFERROR(INDEX('Apuração A'!$G$2:$G$101,MATCH($A6,'Apuração A'!$A$2:$A$101,0)),"")</f>
        <v/>
      </c>
      <c r="U6">
        <f>IFERROR(INDEX('Apuração A'!$H$2:$H$101,MATCH($A6,'Apuração A'!$A$2:$A$101,0)),"")</f>
        <v/>
      </c>
      <c r="V6">
        <f>IFERROR(INDEX('Apuração A'!$I$2:$I$101,MATCH($A6,'Apuração A'!$A$2:$A$101,0)),"")</f>
        <v/>
      </c>
      <c r="W6">
        <f>IFERROR(INDEX('Apuração A'!$J$2:$J$101,MATCH($A6,'Apuração A'!$A$2:$A$101,0)),"")</f>
        <v/>
      </c>
      <c r="X6">
        <f>IFERROR(INDEX('Apuração A'!$K$2:$K$101,MATCH($A6,'Apuração A'!$A$2:$A$101,0)),"")</f>
        <v/>
      </c>
    </row>
    <row r="7">
      <c r="A7">
        <f>'Revisor B'!A7</f>
        <v/>
      </c>
      <c r="B7">
        <f>IFERROR(INDEX(Gabarito!$M:$M,MATCH($A7,Gabarito!$A:$A,0)),"")</f>
        <v/>
      </c>
      <c r="C7">
        <f>IF('Revisor B'!G7&lt;&gt;"",'Revisor B'!G7,IF('Revisor B'!F7="","não preenchido",IF(ABS(N('Revisor B'!F7)-N(INDEX(Gabarito!$B:$B,MATCH($A7,Gabarito!$A:$A,0))))&lt;=1,"confere","diverge")))</f>
        <v/>
      </c>
      <c r="D7">
        <f>IF('Revisor B'!I7&lt;&gt;"",'Revisor B'!I7,IF('Revisor B'!H7="","não preenchido",IF(ABS(N('Revisor B'!H7)-N(INDEX(Gabarito!$C:$C,MATCH($A7,Gabarito!$A:$A,0))))&lt;=1,"confere","diverge")))</f>
        <v/>
      </c>
      <c r="E7">
        <f>IF('Revisor B'!K7&lt;&gt;"",'Revisor B'!K7,IF('Revisor B'!J7="","não preenchido",IF(LOWER(TRIM('Revisor B'!J7))=LOWER(TRIM(INDEX(Gabarito!$D:$D,MATCH($A7,Gabarito!$A:$A,0)))),"confere","diverge")))</f>
        <v/>
      </c>
      <c r="F7">
        <f>IF('Revisor B'!M7&lt;&gt;"",'Revisor B'!M7,IF('Revisor B'!L7="","não preenchido",IF(LOWER(TRIM('Revisor B'!L7))=LOWER(TRIM(INDEX(Gabarito!$E:$E,MATCH($A7,Gabarito!$A:$A,0)))),"confere","diverge")))</f>
        <v/>
      </c>
      <c r="G7">
        <f>IF('Revisor B'!O7&lt;&gt;"",'Revisor B'!O7,IF('Revisor B'!N7="","não preenchido",IF(LOWER(TRIM('Revisor B'!N7))=LOWER(TRIM(INDEX(Gabarito!$F:$F,MATCH($A7,Gabarito!$A:$A,0)))),"confere","diverge")))</f>
        <v/>
      </c>
      <c r="H7">
        <f>IF('Revisor B'!Q7&lt;&gt;"",'Revisor B'!Q7,IF('Revisor B'!P7="","não preenchido",IF(LOWER(TRIM('Revisor B'!P7))=LOWER(TRIM(INDEX(Gabarito!$G:$G,MATCH($A7,Gabarito!$A:$A,0)))),"confere","diverge")))</f>
        <v/>
      </c>
      <c r="I7">
        <f>IF('Revisor B'!S7&lt;&gt;"",'Revisor B'!S7,IF('Revisor B'!R7="","não preenchido",IF(LOWER(TRIM('Revisor B'!R7))=LOWER(TRIM(INDEX(Gabarito!$H:$H,MATCH($A7,Gabarito!$A:$A,0)))),"confere","diverge")))</f>
        <v/>
      </c>
      <c r="J7">
        <f>IF('Revisor B'!U7&lt;&gt;"",'Revisor B'!U7,IF('Revisor B'!T7="","não preenchido",IF(LOWER(TRIM('Revisor B'!T7))=LOWER(TRIM(INDEX(Gabarito!$I:$I,MATCH($A7,Gabarito!$A:$A,0)))),"confere","diverge")))</f>
        <v/>
      </c>
      <c r="K7">
        <f>IF('Revisor B'!W7&lt;&gt;"",'Revisor B'!W7,IF('Revisor B'!V7="","não preenchido",IF(LOWER(TRIM('Revisor B'!V7))=LOWER(TRIM(INDEX(Gabarito!$J:$J,MATCH($A7,Gabarito!$A:$A,0)))),"confere","diverge")))</f>
        <v/>
      </c>
      <c r="L7">
        <f>IF('Revisor B'!AB7="","não preenchido",'Revisor B'!AB7)</f>
        <v/>
      </c>
      <c r="M7">
        <f>IF('Revisor B'!AC7="","não preenchido",'Revisor B'!AC7)</f>
        <v/>
      </c>
      <c r="N7">
        <f>COUNTIF(C7:K7,"diverge")</f>
        <v/>
      </c>
      <c r="O7">
        <f>IF(COUNTIF(C7:K7,"não preenchido")=9,"não preenchido",IF(N7&gt;0,"diverge","confere"))</f>
        <v/>
      </c>
      <c r="P7">
        <f>IFERROR(INDEX('Apuração A'!$C$2:$C$101,MATCH($A7,'Apuração A'!$A$2:$A$101,0)),"")</f>
        <v/>
      </c>
      <c r="Q7">
        <f>IFERROR(INDEX('Apuração A'!$D$2:$D$101,MATCH($A7,'Apuração A'!$A$2:$A$101,0)),"")</f>
        <v/>
      </c>
      <c r="R7">
        <f>IFERROR(INDEX('Apuração A'!$E$2:$E$101,MATCH($A7,'Apuração A'!$A$2:$A$101,0)),"")</f>
        <v/>
      </c>
      <c r="S7">
        <f>IFERROR(INDEX('Apuração A'!$F$2:$F$101,MATCH($A7,'Apuração A'!$A$2:$A$101,0)),"")</f>
        <v/>
      </c>
      <c r="T7">
        <f>IFERROR(INDEX('Apuração A'!$G$2:$G$101,MATCH($A7,'Apuração A'!$A$2:$A$101,0)),"")</f>
        <v/>
      </c>
      <c r="U7">
        <f>IFERROR(INDEX('Apuração A'!$H$2:$H$101,MATCH($A7,'Apuração A'!$A$2:$A$101,0)),"")</f>
        <v/>
      </c>
      <c r="V7">
        <f>IFERROR(INDEX('Apuração A'!$I$2:$I$101,MATCH($A7,'Apuração A'!$A$2:$A$101,0)),"")</f>
        <v/>
      </c>
      <c r="W7">
        <f>IFERROR(INDEX('Apuração A'!$J$2:$J$101,MATCH($A7,'Apuração A'!$A$2:$A$101,0)),"")</f>
        <v/>
      </c>
      <c r="X7">
        <f>IFERROR(INDEX('Apuração A'!$K$2:$K$101,MATCH($A7,'Apuração A'!$A$2:$A$101,0)),"")</f>
        <v/>
      </c>
    </row>
    <row r="8">
      <c r="A8">
        <f>'Revisor B'!A8</f>
        <v/>
      </c>
      <c r="B8">
        <f>IFERROR(INDEX(Gabarito!$M:$M,MATCH($A8,Gabarito!$A:$A,0)),"")</f>
        <v/>
      </c>
      <c r="C8">
        <f>IF('Revisor B'!G8&lt;&gt;"",'Revisor B'!G8,IF('Revisor B'!F8="","não preenchido",IF(ABS(N('Revisor B'!F8)-N(INDEX(Gabarito!$B:$B,MATCH($A8,Gabarito!$A:$A,0))))&lt;=1,"confere","diverge")))</f>
        <v/>
      </c>
      <c r="D8">
        <f>IF('Revisor B'!I8&lt;&gt;"",'Revisor B'!I8,IF('Revisor B'!H8="","não preenchido",IF(ABS(N('Revisor B'!H8)-N(INDEX(Gabarito!$C:$C,MATCH($A8,Gabarito!$A:$A,0))))&lt;=1,"confere","diverge")))</f>
        <v/>
      </c>
      <c r="E8">
        <f>IF('Revisor B'!K8&lt;&gt;"",'Revisor B'!K8,IF('Revisor B'!J8="","não preenchido",IF(LOWER(TRIM('Revisor B'!J8))=LOWER(TRIM(INDEX(Gabarito!$D:$D,MATCH($A8,Gabarito!$A:$A,0)))),"confere","diverge")))</f>
        <v/>
      </c>
      <c r="F8">
        <f>IF('Revisor B'!M8&lt;&gt;"",'Revisor B'!M8,IF('Revisor B'!L8="","não preenchido",IF(LOWER(TRIM('Revisor B'!L8))=LOWER(TRIM(INDEX(Gabarito!$E:$E,MATCH($A8,Gabarito!$A:$A,0)))),"confere","diverge")))</f>
        <v/>
      </c>
      <c r="G8">
        <f>IF('Revisor B'!O8&lt;&gt;"",'Revisor B'!O8,IF('Revisor B'!N8="","não preenchido",IF(LOWER(TRIM('Revisor B'!N8))=LOWER(TRIM(INDEX(Gabarito!$F:$F,MATCH($A8,Gabarito!$A:$A,0)))),"confere","diverge")))</f>
        <v/>
      </c>
      <c r="H8">
        <f>IF('Revisor B'!Q8&lt;&gt;"",'Revisor B'!Q8,IF('Revisor B'!P8="","não preenchido",IF(LOWER(TRIM('Revisor B'!P8))=LOWER(TRIM(INDEX(Gabarito!$G:$G,MATCH($A8,Gabarito!$A:$A,0)))),"confere","diverge")))</f>
        <v/>
      </c>
      <c r="I8">
        <f>IF('Revisor B'!S8&lt;&gt;"",'Revisor B'!S8,IF('Revisor B'!R8="","não preenchido",IF(LOWER(TRIM('Revisor B'!R8))=LOWER(TRIM(INDEX(Gabarito!$H:$H,MATCH($A8,Gabarito!$A:$A,0)))),"confere","diverge")))</f>
        <v/>
      </c>
      <c r="J8">
        <f>IF('Revisor B'!U8&lt;&gt;"",'Revisor B'!U8,IF('Revisor B'!T8="","não preenchido",IF(LOWER(TRIM('Revisor B'!T8))=LOWER(TRIM(INDEX(Gabarito!$I:$I,MATCH($A8,Gabarito!$A:$A,0)))),"confere","diverge")))</f>
        <v/>
      </c>
      <c r="K8">
        <f>IF('Revisor B'!W8&lt;&gt;"",'Revisor B'!W8,IF('Revisor B'!V8="","não preenchido",IF(LOWER(TRIM('Revisor B'!V8))=LOWER(TRIM(INDEX(Gabarito!$J:$J,MATCH($A8,Gabarito!$A:$A,0)))),"confere","diverge")))</f>
        <v/>
      </c>
      <c r="L8">
        <f>IF('Revisor B'!AB8="","não preenchido",'Revisor B'!AB8)</f>
        <v/>
      </c>
      <c r="M8">
        <f>IF('Revisor B'!AC8="","não preenchido",'Revisor B'!AC8)</f>
        <v/>
      </c>
      <c r="N8">
        <f>COUNTIF(C8:K8,"diverge")</f>
        <v/>
      </c>
      <c r="O8">
        <f>IF(COUNTIF(C8:K8,"não preenchido")=9,"não preenchido",IF(N8&gt;0,"diverge","confere"))</f>
        <v/>
      </c>
      <c r="P8">
        <f>IFERROR(INDEX('Apuração A'!$C$2:$C$101,MATCH($A8,'Apuração A'!$A$2:$A$101,0)),"")</f>
        <v/>
      </c>
      <c r="Q8">
        <f>IFERROR(INDEX('Apuração A'!$D$2:$D$101,MATCH($A8,'Apuração A'!$A$2:$A$101,0)),"")</f>
        <v/>
      </c>
      <c r="R8">
        <f>IFERROR(INDEX('Apuração A'!$E$2:$E$101,MATCH($A8,'Apuração A'!$A$2:$A$101,0)),"")</f>
        <v/>
      </c>
      <c r="S8">
        <f>IFERROR(INDEX('Apuração A'!$F$2:$F$101,MATCH($A8,'Apuração A'!$A$2:$A$101,0)),"")</f>
        <v/>
      </c>
      <c r="T8">
        <f>IFERROR(INDEX('Apuração A'!$G$2:$G$101,MATCH($A8,'Apuração A'!$A$2:$A$101,0)),"")</f>
        <v/>
      </c>
      <c r="U8">
        <f>IFERROR(INDEX('Apuração A'!$H$2:$H$101,MATCH($A8,'Apuração A'!$A$2:$A$101,0)),"")</f>
        <v/>
      </c>
      <c r="V8">
        <f>IFERROR(INDEX('Apuração A'!$I$2:$I$101,MATCH($A8,'Apuração A'!$A$2:$A$101,0)),"")</f>
        <v/>
      </c>
      <c r="W8">
        <f>IFERROR(INDEX('Apuração A'!$J$2:$J$101,MATCH($A8,'Apuração A'!$A$2:$A$101,0)),"")</f>
        <v/>
      </c>
      <c r="X8">
        <f>IFERROR(INDEX('Apuração A'!$K$2:$K$101,MATCH($A8,'Apuração A'!$A$2:$A$101,0)),"")</f>
        <v/>
      </c>
    </row>
    <row r="9">
      <c r="A9">
        <f>'Revisor B'!A9</f>
        <v/>
      </c>
      <c r="B9">
        <f>IFERROR(INDEX(Gabarito!$M:$M,MATCH($A9,Gabarito!$A:$A,0)),"")</f>
        <v/>
      </c>
      <c r="C9">
        <f>IF('Revisor B'!G9&lt;&gt;"",'Revisor B'!G9,IF('Revisor B'!F9="","não preenchido",IF(ABS(N('Revisor B'!F9)-N(INDEX(Gabarito!$B:$B,MATCH($A9,Gabarito!$A:$A,0))))&lt;=1,"confere","diverge")))</f>
        <v/>
      </c>
      <c r="D9">
        <f>IF('Revisor B'!I9&lt;&gt;"",'Revisor B'!I9,IF('Revisor B'!H9="","não preenchido",IF(ABS(N('Revisor B'!H9)-N(INDEX(Gabarito!$C:$C,MATCH($A9,Gabarito!$A:$A,0))))&lt;=1,"confere","diverge")))</f>
        <v/>
      </c>
      <c r="E9">
        <f>IF('Revisor B'!K9&lt;&gt;"",'Revisor B'!K9,IF('Revisor B'!J9="","não preenchido",IF(LOWER(TRIM('Revisor B'!J9))=LOWER(TRIM(INDEX(Gabarito!$D:$D,MATCH($A9,Gabarito!$A:$A,0)))),"confere","diverge")))</f>
        <v/>
      </c>
      <c r="F9">
        <f>IF('Revisor B'!M9&lt;&gt;"",'Revisor B'!M9,IF('Revisor B'!L9="","não preenchido",IF(LOWER(TRIM('Revisor B'!L9))=LOWER(TRIM(INDEX(Gabarito!$E:$E,MATCH($A9,Gabarito!$A:$A,0)))),"confere","diverge")))</f>
        <v/>
      </c>
      <c r="G9">
        <f>IF('Revisor B'!O9&lt;&gt;"",'Revisor B'!O9,IF('Revisor B'!N9="","não preenchido",IF(LOWER(TRIM('Revisor B'!N9))=LOWER(TRIM(INDEX(Gabarito!$F:$F,MATCH($A9,Gabarito!$A:$A,0)))),"confere","diverge")))</f>
        <v/>
      </c>
      <c r="H9">
        <f>IF('Revisor B'!Q9&lt;&gt;"",'Revisor B'!Q9,IF('Revisor B'!P9="","não preenchido",IF(LOWER(TRIM('Revisor B'!P9))=LOWER(TRIM(INDEX(Gabarito!$G:$G,MATCH($A9,Gabarito!$A:$A,0)))),"confere","diverge")))</f>
        <v/>
      </c>
      <c r="I9">
        <f>IF('Revisor B'!S9&lt;&gt;"",'Revisor B'!S9,IF('Revisor B'!R9="","não preenchido",IF(LOWER(TRIM('Revisor B'!R9))=LOWER(TRIM(INDEX(Gabarito!$H:$H,MATCH($A9,Gabarito!$A:$A,0)))),"confere","diverge")))</f>
        <v/>
      </c>
      <c r="J9">
        <f>IF('Revisor B'!U9&lt;&gt;"",'Revisor B'!U9,IF('Revisor B'!T9="","não preenchido",IF(LOWER(TRIM('Revisor B'!T9))=LOWER(TRIM(INDEX(Gabarito!$I:$I,MATCH($A9,Gabarito!$A:$A,0)))),"confere","diverge")))</f>
        <v/>
      </c>
      <c r="K9">
        <f>IF('Revisor B'!W9&lt;&gt;"",'Revisor B'!W9,IF('Revisor B'!V9="","não preenchido",IF(LOWER(TRIM('Revisor B'!V9))=LOWER(TRIM(INDEX(Gabarito!$J:$J,MATCH($A9,Gabarito!$A:$A,0)))),"confere","diverge")))</f>
        <v/>
      </c>
      <c r="L9">
        <f>IF('Revisor B'!AB9="","não preenchido",'Revisor B'!AB9)</f>
        <v/>
      </c>
      <c r="M9">
        <f>IF('Revisor B'!AC9="","não preenchido",'Revisor B'!AC9)</f>
        <v/>
      </c>
      <c r="N9">
        <f>COUNTIF(C9:K9,"diverge")</f>
        <v/>
      </c>
      <c r="O9">
        <f>IF(COUNTIF(C9:K9,"não preenchido")=9,"não preenchido",IF(N9&gt;0,"diverge","confere"))</f>
        <v/>
      </c>
      <c r="P9">
        <f>IFERROR(INDEX('Apuração A'!$C$2:$C$101,MATCH($A9,'Apuração A'!$A$2:$A$101,0)),"")</f>
        <v/>
      </c>
      <c r="Q9">
        <f>IFERROR(INDEX('Apuração A'!$D$2:$D$101,MATCH($A9,'Apuração A'!$A$2:$A$101,0)),"")</f>
        <v/>
      </c>
      <c r="R9">
        <f>IFERROR(INDEX('Apuração A'!$E$2:$E$101,MATCH($A9,'Apuração A'!$A$2:$A$101,0)),"")</f>
        <v/>
      </c>
      <c r="S9">
        <f>IFERROR(INDEX('Apuração A'!$F$2:$F$101,MATCH($A9,'Apuração A'!$A$2:$A$101,0)),"")</f>
        <v/>
      </c>
      <c r="T9">
        <f>IFERROR(INDEX('Apuração A'!$G$2:$G$101,MATCH($A9,'Apuração A'!$A$2:$A$101,0)),"")</f>
        <v/>
      </c>
      <c r="U9">
        <f>IFERROR(INDEX('Apuração A'!$H$2:$H$101,MATCH($A9,'Apuração A'!$A$2:$A$101,0)),"")</f>
        <v/>
      </c>
      <c r="V9">
        <f>IFERROR(INDEX('Apuração A'!$I$2:$I$101,MATCH($A9,'Apuração A'!$A$2:$A$101,0)),"")</f>
        <v/>
      </c>
      <c r="W9">
        <f>IFERROR(INDEX('Apuração A'!$J$2:$J$101,MATCH($A9,'Apuração A'!$A$2:$A$101,0)),"")</f>
        <v/>
      </c>
      <c r="X9">
        <f>IFERROR(INDEX('Apuração A'!$K$2:$K$101,MATCH($A9,'Apuração A'!$A$2:$A$101,0)),"")</f>
        <v/>
      </c>
    </row>
    <row r="10">
      <c r="A10">
        <f>'Revisor B'!A10</f>
        <v/>
      </c>
      <c r="B10">
        <f>IFERROR(INDEX(Gabarito!$M:$M,MATCH($A10,Gabarito!$A:$A,0)),"")</f>
        <v/>
      </c>
      <c r="C10">
        <f>IF('Revisor B'!G10&lt;&gt;"",'Revisor B'!G10,IF('Revisor B'!F10="","não preenchido",IF(ABS(N('Revisor B'!F10)-N(INDEX(Gabarito!$B:$B,MATCH($A10,Gabarito!$A:$A,0))))&lt;=1,"confere","diverge")))</f>
        <v/>
      </c>
      <c r="D10">
        <f>IF('Revisor B'!I10&lt;&gt;"",'Revisor B'!I10,IF('Revisor B'!H10="","não preenchido",IF(ABS(N('Revisor B'!H10)-N(INDEX(Gabarito!$C:$C,MATCH($A10,Gabarito!$A:$A,0))))&lt;=1,"confere","diverge")))</f>
        <v/>
      </c>
      <c r="E10">
        <f>IF('Revisor B'!K10&lt;&gt;"",'Revisor B'!K10,IF('Revisor B'!J10="","não preenchido",IF(LOWER(TRIM('Revisor B'!J10))=LOWER(TRIM(INDEX(Gabarito!$D:$D,MATCH($A10,Gabarito!$A:$A,0)))),"confere","diverge")))</f>
        <v/>
      </c>
      <c r="F10">
        <f>IF('Revisor B'!M10&lt;&gt;"",'Revisor B'!M10,IF('Revisor B'!L10="","não preenchido",IF(LOWER(TRIM('Revisor B'!L10))=LOWER(TRIM(INDEX(Gabarito!$E:$E,MATCH($A10,Gabarito!$A:$A,0)))),"confere","diverge")))</f>
        <v/>
      </c>
      <c r="G10">
        <f>IF('Revisor B'!O10&lt;&gt;"",'Revisor B'!O10,IF('Revisor B'!N10="","não preenchido",IF(LOWER(TRIM('Revisor B'!N10))=LOWER(TRIM(INDEX(Gabarito!$F:$F,MATCH($A10,Gabarito!$A:$A,0)))),"confere","diverge")))</f>
        <v/>
      </c>
      <c r="H10">
        <f>IF('Revisor B'!Q10&lt;&gt;"",'Revisor B'!Q10,IF('Revisor B'!P10="","não preenchido",IF(LOWER(TRIM('Revisor B'!P10))=LOWER(TRIM(INDEX(Gabarito!$G:$G,MATCH($A10,Gabarito!$A:$A,0)))),"confere","diverge")))</f>
        <v/>
      </c>
      <c r="I10">
        <f>IF('Revisor B'!S10&lt;&gt;"",'Revisor B'!S10,IF('Revisor B'!R10="","não preenchido",IF(LOWER(TRIM('Revisor B'!R10))=LOWER(TRIM(INDEX(Gabarito!$H:$H,MATCH($A10,Gabarito!$A:$A,0)))),"confere","diverge")))</f>
        <v/>
      </c>
      <c r="J10">
        <f>IF('Revisor B'!U10&lt;&gt;"",'Revisor B'!U10,IF('Revisor B'!T10="","não preenchido",IF(LOWER(TRIM('Revisor B'!T10))=LOWER(TRIM(INDEX(Gabarito!$I:$I,MATCH($A10,Gabarito!$A:$A,0)))),"confere","diverge")))</f>
        <v/>
      </c>
      <c r="K10">
        <f>IF('Revisor B'!W10&lt;&gt;"",'Revisor B'!W10,IF('Revisor B'!V10="","não preenchido",IF(LOWER(TRIM('Revisor B'!V10))=LOWER(TRIM(INDEX(Gabarito!$J:$J,MATCH($A10,Gabarito!$A:$A,0)))),"confere","diverge")))</f>
        <v/>
      </c>
      <c r="L10">
        <f>IF('Revisor B'!AB10="","não preenchido",'Revisor B'!AB10)</f>
        <v/>
      </c>
      <c r="M10">
        <f>IF('Revisor B'!AC10="","não preenchido",'Revisor B'!AC10)</f>
        <v/>
      </c>
      <c r="N10">
        <f>COUNTIF(C10:K10,"diverge")</f>
        <v/>
      </c>
      <c r="O10">
        <f>IF(COUNTIF(C10:K10,"não preenchido")=9,"não preenchido",IF(N10&gt;0,"diverge","confere"))</f>
        <v/>
      </c>
      <c r="P10">
        <f>IFERROR(INDEX('Apuração A'!$C$2:$C$101,MATCH($A10,'Apuração A'!$A$2:$A$101,0)),"")</f>
        <v/>
      </c>
      <c r="Q10">
        <f>IFERROR(INDEX('Apuração A'!$D$2:$D$101,MATCH($A10,'Apuração A'!$A$2:$A$101,0)),"")</f>
        <v/>
      </c>
      <c r="R10">
        <f>IFERROR(INDEX('Apuração A'!$E$2:$E$101,MATCH($A10,'Apuração A'!$A$2:$A$101,0)),"")</f>
        <v/>
      </c>
      <c r="S10">
        <f>IFERROR(INDEX('Apuração A'!$F$2:$F$101,MATCH($A10,'Apuração A'!$A$2:$A$101,0)),"")</f>
        <v/>
      </c>
      <c r="T10">
        <f>IFERROR(INDEX('Apuração A'!$G$2:$G$101,MATCH($A10,'Apuração A'!$A$2:$A$101,0)),"")</f>
        <v/>
      </c>
      <c r="U10">
        <f>IFERROR(INDEX('Apuração A'!$H$2:$H$101,MATCH($A10,'Apuração A'!$A$2:$A$101,0)),"")</f>
        <v/>
      </c>
      <c r="V10">
        <f>IFERROR(INDEX('Apuração A'!$I$2:$I$101,MATCH($A10,'Apuração A'!$A$2:$A$101,0)),"")</f>
        <v/>
      </c>
      <c r="W10">
        <f>IFERROR(INDEX('Apuração A'!$J$2:$J$101,MATCH($A10,'Apuração A'!$A$2:$A$101,0)),"")</f>
        <v/>
      </c>
      <c r="X10">
        <f>IFERROR(INDEX('Apuração A'!$K$2:$K$101,MATCH($A10,'Apuração A'!$A$2:$A$101,0)),"")</f>
        <v/>
      </c>
    </row>
    <row r="11">
      <c r="A11">
        <f>'Revisor B'!A11</f>
        <v/>
      </c>
      <c r="B11">
        <f>IFERROR(INDEX(Gabarito!$M:$M,MATCH($A11,Gabarito!$A:$A,0)),"")</f>
        <v/>
      </c>
      <c r="C11">
        <f>IF('Revisor B'!G11&lt;&gt;"",'Revisor B'!G11,IF('Revisor B'!F11="","não preenchido",IF(ABS(N('Revisor B'!F11)-N(INDEX(Gabarito!$B:$B,MATCH($A11,Gabarito!$A:$A,0))))&lt;=1,"confere","diverge")))</f>
        <v/>
      </c>
      <c r="D11">
        <f>IF('Revisor B'!I11&lt;&gt;"",'Revisor B'!I11,IF('Revisor B'!H11="","não preenchido",IF(ABS(N('Revisor B'!H11)-N(INDEX(Gabarito!$C:$C,MATCH($A11,Gabarito!$A:$A,0))))&lt;=1,"confere","diverge")))</f>
        <v/>
      </c>
      <c r="E11">
        <f>IF('Revisor B'!K11&lt;&gt;"",'Revisor B'!K11,IF('Revisor B'!J11="","não preenchido",IF(LOWER(TRIM('Revisor B'!J11))=LOWER(TRIM(INDEX(Gabarito!$D:$D,MATCH($A11,Gabarito!$A:$A,0)))),"confere","diverge")))</f>
        <v/>
      </c>
      <c r="F11">
        <f>IF('Revisor B'!M11&lt;&gt;"",'Revisor B'!M11,IF('Revisor B'!L11="","não preenchido",IF(LOWER(TRIM('Revisor B'!L11))=LOWER(TRIM(INDEX(Gabarito!$E:$E,MATCH($A11,Gabarito!$A:$A,0)))),"confere","diverge")))</f>
        <v/>
      </c>
      <c r="G11">
        <f>IF('Revisor B'!O11&lt;&gt;"",'Revisor B'!O11,IF('Revisor B'!N11="","não preenchido",IF(LOWER(TRIM('Revisor B'!N11))=LOWER(TRIM(INDEX(Gabarito!$F:$F,MATCH($A11,Gabarito!$A:$A,0)))),"confere","diverge")))</f>
        <v/>
      </c>
      <c r="H11">
        <f>IF('Revisor B'!Q11&lt;&gt;"",'Revisor B'!Q11,IF('Revisor B'!P11="","não preenchido",IF(LOWER(TRIM('Revisor B'!P11))=LOWER(TRIM(INDEX(Gabarito!$G:$G,MATCH($A11,Gabarito!$A:$A,0)))),"confere","diverge")))</f>
        <v/>
      </c>
      <c r="I11">
        <f>IF('Revisor B'!S11&lt;&gt;"",'Revisor B'!S11,IF('Revisor B'!R11="","não preenchido",IF(LOWER(TRIM('Revisor B'!R11))=LOWER(TRIM(INDEX(Gabarito!$H:$H,MATCH($A11,Gabarito!$A:$A,0)))),"confere","diverge")))</f>
        <v/>
      </c>
      <c r="J11">
        <f>IF('Revisor B'!U11&lt;&gt;"",'Revisor B'!U11,IF('Revisor B'!T11="","não preenchido",IF(LOWER(TRIM('Revisor B'!T11))=LOWER(TRIM(INDEX(Gabarito!$I:$I,MATCH($A11,Gabarito!$A:$A,0)))),"confere","diverge")))</f>
        <v/>
      </c>
      <c r="K11">
        <f>IF('Revisor B'!W11&lt;&gt;"",'Revisor B'!W11,IF('Revisor B'!V11="","não preenchido",IF(LOWER(TRIM('Revisor B'!V11))=LOWER(TRIM(INDEX(Gabarito!$J:$J,MATCH($A11,Gabarito!$A:$A,0)))),"confere","diverge")))</f>
        <v/>
      </c>
      <c r="L11">
        <f>IF('Revisor B'!AB11="","não preenchido",'Revisor B'!AB11)</f>
        <v/>
      </c>
      <c r="M11">
        <f>IF('Revisor B'!AC11="","não preenchido",'Revisor B'!AC11)</f>
        <v/>
      </c>
      <c r="N11">
        <f>COUNTIF(C11:K11,"diverge")</f>
        <v/>
      </c>
      <c r="O11">
        <f>IF(COUNTIF(C11:K11,"não preenchido")=9,"não preenchido",IF(N11&gt;0,"diverge","confere"))</f>
        <v/>
      </c>
      <c r="P11">
        <f>IFERROR(INDEX('Apuração A'!$C$2:$C$101,MATCH($A11,'Apuração A'!$A$2:$A$101,0)),"")</f>
        <v/>
      </c>
      <c r="Q11">
        <f>IFERROR(INDEX('Apuração A'!$D$2:$D$101,MATCH($A11,'Apuração A'!$A$2:$A$101,0)),"")</f>
        <v/>
      </c>
      <c r="R11">
        <f>IFERROR(INDEX('Apuração A'!$E$2:$E$101,MATCH($A11,'Apuração A'!$A$2:$A$101,0)),"")</f>
        <v/>
      </c>
      <c r="S11">
        <f>IFERROR(INDEX('Apuração A'!$F$2:$F$101,MATCH($A11,'Apuração A'!$A$2:$A$101,0)),"")</f>
        <v/>
      </c>
      <c r="T11">
        <f>IFERROR(INDEX('Apuração A'!$G$2:$G$101,MATCH($A11,'Apuração A'!$A$2:$A$101,0)),"")</f>
        <v/>
      </c>
      <c r="U11">
        <f>IFERROR(INDEX('Apuração A'!$H$2:$H$101,MATCH($A11,'Apuração A'!$A$2:$A$101,0)),"")</f>
        <v/>
      </c>
      <c r="V11">
        <f>IFERROR(INDEX('Apuração A'!$I$2:$I$101,MATCH($A11,'Apuração A'!$A$2:$A$101,0)),"")</f>
        <v/>
      </c>
      <c r="W11">
        <f>IFERROR(INDEX('Apuração A'!$J$2:$J$101,MATCH($A11,'Apuração A'!$A$2:$A$101,0)),"")</f>
        <v/>
      </c>
      <c r="X11">
        <f>IFERROR(INDEX('Apuração A'!$K$2:$K$101,MATCH($A11,'Apuração A'!$A$2:$A$101,0)),"")</f>
        <v/>
      </c>
    </row>
    <row r="12">
      <c r="A12">
        <f>'Revisor B'!A12</f>
        <v/>
      </c>
      <c r="B12">
        <f>IFERROR(INDEX(Gabarito!$M:$M,MATCH($A12,Gabarito!$A:$A,0)),"")</f>
        <v/>
      </c>
      <c r="C12">
        <f>IF('Revisor B'!G12&lt;&gt;"",'Revisor B'!G12,IF('Revisor B'!F12="","não preenchido",IF(ABS(N('Revisor B'!F12)-N(INDEX(Gabarito!$B:$B,MATCH($A12,Gabarito!$A:$A,0))))&lt;=1,"confere","diverge")))</f>
        <v/>
      </c>
      <c r="D12">
        <f>IF('Revisor B'!I12&lt;&gt;"",'Revisor B'!I12,IF('Revisor B'!H12="","não preenchido",IF(ABS(N('Revisor B'!H12)-N(INDEX(Gabarito!$C:$C,MATCH($A12,Gabarito!$A:$A,0))))&lt;=1,"confere","diverge")))</f>
        <v/>
      </c>
      <c r="E12">
        <f>IF('Revisor B'!K12&lt;&gt;"",'Revisor B'!K12,IF('Revisor B'!J12="","não preenchido",IF(LOWER(TRIM('Revisor B'!J12))=LOWER(TRIM(INDEX(Gabarito!$D:$D,MATCH($A12,Gabarito!$A:$A,0)))),"confere","diverge")))</f>
        <v/>
      </c>
      <c r="F12">
        <f>IF('Revisor B'!M12&lt;&gt;"",'Revisor B'!M12,IF('Revisor B'!L12="","não preenchido",IF(LOWER(TRIM('Revisor B'!L12))=LOWER(TRIM(INDEX(Gabarito!$E:$E,MATCH($A12,Gabarito!$A:$A,0)))),"confere","diverge")))</f>
        <v/>
      </c>
      <c r="G12">
        <f>IF('Revisor B'!O12&lt;&gt;"",'Revisor B'!O12,IF('Revisor B'!N12="","não preenchido",IF(LOWER(TRIM('Revisor B'!N12))=LOWER(TRIM(INDEX(Gabarito!$F:$F,MATCH($A12,Gabarito!$A:$A,0)))),"confere","diverge")))</f>
        <v/>
      </c>
      <c r="H12">
        <f>IF('Revisor B'!Q12&lt;&gt;"",'Revisor B'!Q12,IF('Revisor B'!P12="","não preenchido",IF(LOWER(TRIM('Revisor B'!P12))=LOWER(TRIM(INDEX(Gabarito!$G:$G,MATCH($A12,Gabarito!$A:$A,0)))),"confere","diverge")))</f>
        <v/>
      </c>
      <c r="I12">
        <f>IF('Revisor B'!S12&lt;&gt;"",'Revisor B'!S12,IF('Revisor B'!R12="","não preenchido",IF(LOWER(TRIM('Revisor B'!R12))=LOWER(TRIM(INDEX(Gabarito!$H:$H,MATCH($A12,Gabarito!$A:$A,0)))),"confere","diverge")))</f>
        <v/>
      </c>
      <c r="J12">
        <f>IF('Revisor B'!U12&lt;&gt;"",'Revisor B'!U12,IF('Revisor B'!T12="","não preenchido",IF(LOWER(TRIM('Revisor B'!T12))=LOWER(TRIM(INDEX(Gabarito!$I:$I,MATCH($A12,Gabarito!$A:$A,0)))),"confere","diverge")))</f>
        <v/>
      </c>
      <c r="K12">
        <f>IF('Revisor B'!W12&lt;&gt;"",'Revisor B'!W12,IF('Revisor B'!V12="","não preenchido",IF(LOWER(TRIM('Revisor B'!V12))=LOWER(TRIM(INDEX(Gabarito!$J:$J,MATCH($A12,Gabarito!$A:$A,0)))),"confere","diverge")))</f>
        <v/>
      </c>
      <c r="L12">
        <f>IF('Revisor B'!AB12="","não preenchido",'Revisor B'!AB12)</f>
        <v/>
      </c>
      <c r="M12">
        <f>IF('Revisor B'!AC12="","não preenchido",'Revisor B'!AC12)</f>
        <v/>
      </c>
      <c r="N12">
        <f>COUNTIF(C12:K12,"diverge")</f>
        <v/>
      </c>
      <c r="O12">
        <f>IF(COUNTIF(C12:K12,"não preenchido")=9,"não preenchido",IF(N12&gt;0,"diverge","confere"))</f>
        <v/>
      </c>
      <c r="P12">
        <f>IFERROR(INDEX('Apuração A'!$C$2:$C$101,MATCH($A12,'Apuração A'!$A$2:$A$101,0)),"")</f>
        <v/>
      </c>
      <c r="Q12">
        <f>IFERROR(INDEX('Apuração A'!$D$2:$D$101,MATCH($A12,'Apuração A'!$A$2:$A$101,0)),"")</f>
        <v/>
      </c>
      <c r="R12">
        <f>IFERROR(INDEX('Apuração A'!$E$2:$E$101,MATCH($A12,'Apuração A'!$A$2:$A$101,0)),"")</f>
        <v/>
      </c>
      <c r="S12">
        <f>IFERROR(INDEX('Apuração A'!$F$2:$F$101,MATCH($A12,'Apuração A'!$A$2:$A$101,0)),"")</f>
        <v/>
      </c>
      <c r="T12">
        <f>IFERROR(INDEX('Apuração A'!$G$2:$G$101,MATCH($A12,'Apuração A'!$A$2:$A$101,0)),"")</f>
        <v/>
      </c>
      <c r="U12">
        <f>IFERROR(INDEX('Apuração A'!$H$2:$H$101,MATCH($A12,'Apuração A'!$A$2:$A$101,0)),"")</f>
        <v/>
      </c>
      <c r="V12">
        <f>IFERROR(INDEX('Apuração A'!$I$2:$I$101,MATCH($A12,'Apuração A'!$A$2:$A$101,0)),"")</f>
        <v/>
      </c>
      <c r="W12">
        <f>IFERROR(INDEX('Apuração A'!$J$2:$J$101,MATCH($A12,'Apuração A'!$A$2:$A$101,0)),"")</f>
        <v/>
      </c>
      <c r="X12">
        <f>IFERROR(INDEX('Apuração A'!$K$2:$K$101,MATCH($A12,'Apuração A'!$A$2:$A$101,0)),"")</f>
        <v/>
      </c>
    </row>
    <row r="13">
      <c r="A13">
        <f>'Revisor B'!A13</f>
        <v/>
      </c>
      <c r="B13">
        <f>IFERROR(INDEX(Gabarito!$M:$M,MATCH($A13,Gabarito!$A:$A,0)),"")</f>
        <v/>
      </c>
      <c r="C13">
        <f>IF('Revisor B'!G13&lt;&gt;"",'Revisor B'!G13,IF('Revisor B'!F13="","não preenchido",IF(ABS(N('Revisor B'!F13)-N(INDEX(Gabarito!$B:$B,MATCH($A13,Gabarito!$A:$A,0))))&lt;=1,"confere","diverge")))</f>
        <v/>
      </c>
      <c r="D13">
        <f>IF('Revisor B'!I13&lt;&gt;"",'Revisor B'!I13,IF('Revisor B'!H13="","não preenchido",IF(ABS(N('Revisor B'!H13)-N(INDEX(Gabarito!$C:$C,MATCH($A13,Gabarito!$A:$A,0))))&lt;=1,"confere","diverge")))</f>
        <v/>
      </c>
      <c r="E13">
        <f>IF('Revisor B'!K13&lt;&gt;"",'Revisor B'!K13,IF('Revisor B'!J13="","não preenchido",IF(LOWER(TRIM('Revisor B'!J13))=LOWER(TRIM(INDEX(Gabarito!$D:$D,MATCH($A13,Gabarito!$A:$A,0)))),"confere","diverge")))</f>
        <v/>
      </c>
      <c r="F13">
        <f>IF('Revisor B'!M13&lt;&gt;"",'Revisor B'!M13,IF('Revisor B'!L13="","não preenchido",IF(LOWER(TRIM('Revisor B'!L13))=LOWER(TRIM(INDEX(Gabarito!$E:$E,MATCH($A13,Gabarito!$A:$A,0)))),"confere","diverge")))</f>
        <v/>
      </c>
      <c r="G13">
        <f>IF('Revisor B'!O13&lt;&gt;"",'Revisor B'!O13,IF('Revisor B'!N13="","não preenchido",IF(LOWER(TRIM('Revisor B'!N13))=LOWER(TRIM(INDEX(Gabarito!$F:$F,MATCH($A13,Gabarito!$A:$A,0)))),"confere","diverge")))</f>
        <v/>
      </c>
      <c r="H13">
        <f>IF('Revisor B'!Q13&lt;&gt;"",'Revisor B'!Q13,IF('Revisor B'!P13="","não preenchido",IF(LOWER(TRIM('Revisor B'!P13))=LOWER(TRIM(INDEX(Gabarito!$G:$G,MATCH($A13,Gabarito!$A:$A,0)))),"confere","diverge")))</f>
        <v/>
      </c>
      <c r="I13">
        <f>IF('Revisor B'!S13&lt;&gt;"",'Revisor B'!S13,IF('Revisor B'!R13="","não preenchido",IF(LOWER(TRIM('Revisor B'!R13))=LOWER(TRIM(INDEX(Gabarito!$H:$H,MATCH($A13,Gabarito!$A:$A,0)))),"confere","diverge")))</f>
        <v/>
      </c>
      <c r="J13">
        <f>IF('Revisor B'!U13&lt;&gt;"",'Revisor B'!U13,IF('Revisor B'!T13="","não preenchido",IF(LOWER(TRIM('Revisor B'!T13))=LOWER(TRIM(INDEX(Gabarito!$I:$I,MATCH($A13,Gabarito!$A:$A,0)))),"confere","diverge")))</f>
        <v/>
      </c>
      <c r="K13">
        <f>IF('Revisor B'!W13&lt;&gt;"",'Revisor B'!W13,IF('Revisor B'!V13="","não preenchido",IF(LOWER(TRIM('Revisor B'!V13))=LOWER(TRIM(INDEX(Gabarito!$J:$J,MATCH($A13,Gabarito!$A:$A,0)))),"confere","diverge")))</f>
        <v/>
      </c>
      <c r="L13">
        <f>IF('Revisor B'!AB13="","não preenchido",'Revisor B'!AB13)</f>
        <v/>
      </c>
      <c r="M13">
        <f>IF('Revisor B'!AC13="","não preenchido",'Revisor B'!AC13)</f>
        <v/>
      </c>
      <c r="N13">
        <f>COUNTIF(C13:K13,"diverge")</f>
        <v/>
      </c>
      <c r="O13">
        <f>IF(COUNTIF(C13:K13,"não preenchido")=9,"não preenchido",IF(N13&gt;0,"diverge","confere"))</f>
        <v/>
      </c>
      <c r="P13">
        <f>IFERROR(INDEX('Apuração A'!$C$2:$C$101,MATCH($A13,'Apuração A'!$A$2:$A$101,0)),"")</f>
        <v/>
      </c>
      <c r="Q13">
        <f>IFERROR(INDEX('Apuração A'!$D$2:$D$101,MATCH($A13,'Apuração A'!$A$2:$A$101,0)),"")</f>
        <v/>
      </c>
      <c r="R13">
        <f>IFERROR(INDEX('Apuração A'!$E$2:$E$101,MATCH($A13,'Apuração A'!$A$2:$A$101,0)),"")</f>
        <v/>
      </c>
      <c r="S13">
        <f>IFERROR(INDEX('Apuração A'!$F$2:$F$101,MATCH($A13,'Apuração A'!$A$2:$A$101,0)),"")</f>
        <v/>
      </c>
      <c r="T13">
        <f>IFERROR(INDEX('Apuração A'!$G$2:$G$101,MATCH($A13,'Apuração A'!$A$2:$A$101,0)),"")</f>
        <v/>
      </c>
      <c r="U13">
        <f>IFERROR(INDEX('Apuração A'!$H$2:$H$101,MATCH($A13,'Apuração A'!$A$2:$A$101,0)),"")</f>
        <v/>
      </c>
      <c r="V13">
        <f>IFERROR(INDEX('Apuração A'!$I$2:$I$101,MATCH($A13,'Apuração A'!$A$2:$A$101,0)),"")</f>
        <v/>
      </c>
      <c r="W13">
        <f>IFERROR(INDEX('Apuração A'!$J$2:$J$101,MATCH($A13,'Apuração A'!$A$2:$A$101,0)),"")</f>
        <v/>
      </c>
      <c r="X13">
        <f>IFERROR(INDEX('Apuração A'!$K$2:$K$101,MATCH($A13,'Apuração A'!$A$2:$A$101,0)),"")</f>
        <v/>
      </c>
    </row>
    <row r="14">
      <c r="A14">
        <f>'Revisor B'!A14</f>
        <v/>
      </c>
      <c r="B14">
        <f>IFERROR(INDEX(Gabarito!$M:$M,MATCH($A14,Gabarito!$A:$A,0)),"")</f>
        <v/>
      </c>
      <c r="C14">
        <f>IF('Revisor B'!G14&lt;&gt;"",'Revisor B'!G14,IF('Revisor B'!F14="","não preenchido",IF(ABS(N('Revisor B'!F14)-N(INDEX(Gabarito!$B:$B,MATCH($A14,Gabarito!$A:$A,0))))&lt;=1,"confere","diverge")))</f>
        <v/>
      </c>
      <c r="D14">
        <f>IF('Revisor B'!I14&lt;&gt;"",'Revisor B'!I14,IF('Revisor B'!H14="","não preenchido",IF(ABS(N('Revisor B'!H14)-N(INDEX(Gabarito!$C:$C,MATCH($A14,Gabarito!$A:$A,0))))&lt;=1,"confere","diverge")))</f>
        <v/>
      </c>
      <c r="E14">
        <f>IF('Revisor B'!K14&lt;&gt;"",'Revisor B'!K14,IF('Revisor B'!J14="","não preenchido",IF(LOWER(TRIM('Revisor B'!J14))=LOWER(TRIM(INDEX(Gabarito!$D:$D,MATCH($A14,Gabarito!$A:$A,0)))),"confere","diverge")))</f>
        <v/>
      </c>
      <c r="F14">
        <f>IF('Revisor B'!M14&lt;&gt;"",'Revisor B'!M14,IF('Revisor B'!L14="","não preenchido",IF(LOWER(TRIM('Revisor B'!L14))=LOWER(TRIM(INDEX(Gabarito!$E:$E,MATCH($A14,Gabarito!$A:$A,0)))),"confere","diverge")))</f>
        <v/>
      </c>
      <c r="G14">
        <f>IF('Revisor B'!O14&lt;&gt;"",'Revisor B'!O14,IF('Revisor B'!N14="","não preenchido",IF(LOWER(TRIM('Revisor B'!N14))=LOWER(TRIM(INDEX(Gabarito!$F:$F,MATCH($A14,Gabarito!$A:$A,0)))),"confere","diverge")))</f>
        <v/>
      </c>
      <c r="H14">
        <f>IF('Revisor B'!Q14&lt;&gt;"",'Revisor B'!Q14,IF('Revisor B'!P14="","não preenchido",IF(LOWER(TRIM('Revisor B'!P14))=LOWER(TRIM(INDEX(Gabarito!$G:$G,MATCH($A14,Gabarito!$A:$A,0)))),"confere","diverge")))</f>
        <v/>
      </c>
      <c r="I14">
        <f>IF('Revisor B'!S14&lt;&gt;"",'Revisor B'!S14,IF('Revisor B'!R14="","não preenchido",IF(LOWER(TRIM('Revisor B'!R14))=LOWER(TRIM(INDEX(Gabarito!$H:$H,MATCH($A14,Gabarito!$A:$A,0)))),"confere","diverge")))</f>
        <v/>
      </c>
      <c r="J14">
        <f>IF('Revisor B'!U14&lt;&gt;"",'Revisor B'!U14,IF('Revisor B'!T14="","não preenchido",IF(LOWER(TRIM('Revisor B'!T14))=LOWER(TRIM(INDEX(Gabarito!$I:$I,MATCH($A14,Gabarito!$A:$A,0)))),"confere","diverge")))</f>
        <v/>
      </c>
      <c r="K14">
        <f>IF('Revisor B'!W14&lt;&gt;"",'Revisor B'!W14,IF('Revisor B'!V14="","não preenchido",IF(LOWER(TRIM('Revisor B'!V14))=LOWER(TRIM(INDEX(Gabarito!$J:$J,MATCH($A14,Gabarito!$A:$A,0)))),"confere","diverge")))</f>
        <v/>
      </c>
      <c r="L14">
        <f>IF('Revisor B'!AB14="","não preenchido",'Revisor B'!AB14)</f>
        <v/>
      </c>
      <c r="M14">
        <f>IF('Revisor B'!AC14="","não preenchido",'Revisor B'!AC14)</f>
        <v/>
      </c>
      <c r="N14">
        <f>COUNTIF(C14:K14,"diverge")</f>
        <v/>
      </c>
      <c r="O14">
        <f>IF(COUNTIF(C14:K14,"não preenchido")=9,"não preenchido",IF(N14&gt;0,"diverge","confere"))</f>
        <v/>
      </c>
      <c r="P14">
        <f>IFERROR(INDEX('Apuração A'!$C$2:$C$101,MATCH($A14,'Apuração A'!$A$2:$A$101,0)),"")</f>
        <v/>
      </c>
      <c r="Q14">
        <f>IFERROR(INDEX('Apuração A'!$D$2:$D$101,MATCH($A14,'Apuração A'!$A$2:$A$101,0)),"")</f>
        <v/>
      </c>
      <c r="R14">
        <f>IFERROR(INDEX('Apuração A'!$E$2:$E$101,MATCH($A14,'Apuração A'!$A$2:$A$101,0)),"")</f>
        <v/>
      </c>
      <c r="S14">
        <f>IFERROR(INDEX('Apuração A'!$F$2:$F$101,MATCH($A14,'Apuração A'!$A$2:$A$101,0)),"")</f>
        <v/>
      </c>
      <c r="T14">
        <f>IFERROR(INDEX('Apuração A'!$G$2:$G$101,MATCH($A14,'Apuração A'!$A$2:$A$101,0)),"")</f>
        <v/>
      </c>
      <c r="U14">
        <f>IFERROR(INDEX('Apuração A'!$H$2:$H$101,MATCH($A14,'Apuração A'!$A$2:$A$101,0)),"")</f>
        <v/>
      </c>
      <c r="V14">
        <f>IFERROR(INDEX('Apuração A'!$I$2:$I$101,MATCH($A14,'Apuração A'!$A$2:$A$101,0)),"")</f>
        <v/>
      </c>
      <c r="W14">
        <f>IFERROR(INDEX('Apuração A'!$J$2:$J$101,MATCH($A14,'Apuração A'!$A$2:$A$101,0)),"")</f>
        <v/>
      </c>
      <c r="X14">
        <f>IFERROR(INDEX('Apuração A'!$K$2:$K$101,MATCH($A14,'Apuração A'!$A$2:$A$101,0)),"")</f>
        <v/>
      </c>
    </row>
    <row r="15">
      <c r="A15">
        <f>'Revisor B'!A15</f>
        <v/>
      </c>
      <c r="B15">
        <f>IFERROR(INDEX(Gabarito!$M:$M,MATCH($A15,Gabarito!$A:$A,0)),"")</f>
        <v/>
      </c>
      <c r="C15">
        <f>IF('Revisor B'!G15&lt;&gt;"",'Revisor B'!G15,IF('Revisor B'!F15="","não preenchido",IF(ABS(N('Revisor B'!F15)-N(INDEX(Gabarito!$B:$B,MATCH($A15,Gabarito!$A:$A,0))))&lt;=1,"confere","diverge")))</f>
        <v/>
      </c>
      <c r="D15">
        <f>IF('Revisor B'!I15&lt;&gt;"",'Revisor B'!I15,IF('Revisor B'!H15="","não preenchido",IF(ABS(N('Revisor B'!H15)-N(INDEX(Gabarito!$C:$C,MATCH($A15,Gabarito!$A:$A,0))))&lt;=1,"confere","diverge")))</f>
        <v/>
      </c>
      <c r="E15">
        <f>IF('Revisor B'!K15&lt;&gt;"",'Revisor B'!K15,IF('Revisor B'!J15="","não preenchido",IF(LOWER(TRIM('Revisor B'!J15))=LOWER(TRIM(INDEX(Gabarito!$D:$D,MATCH($A15,Gabarito!$A:$A,0)))),"confere","diverge")))</f>
        <v/>
      </c>
      <c r="F15">
        <f>IF('Revisor B'!M15&lt;&gt;"",'Revisor B'!M15,IF('Revisor B'!L15="","não preenchido",IF(LOWER(TRIM('Revisor B'!L15))=LOWER(TRIM(INDEX(Gabarito!$E:$E,MATCH($A15,Gabarito!$A:$A,0)))),"confere","diverge")))</f>
        <v/>
      </c>
      <c r="G15">
        <f>IF('Revisor B'!O15&lt;&gt;"",'Revisor B'!O15,IF('Revisor B'!N15="","não preenchido",IF(LOWER(TRIM('Revisor B'!N15))=LOWER(TRIM(INDEX(Gabarito!$F:$F,MATCH($A15,Gabarito!$A:$A,0)))),"confere","diverge")))</f>
        <v/>
      </c>
      <c r="H15">
        <f>IF('Revisor B'!Q15&lt;&gt;"",'Revisor B'!Q15,IF('Revisor B'!P15="","não preenchido",IF(LOWER(TRIM('Revisor B'!P15))=LOWER(TRIM(INDEX(Gabarito!$G:$G,MATCH($A15,Gabarito!$A:$A,0)))),"confere","diverge")))</f>
        <v/>
      </c>
      <c r="I15">
        <f>IF('Revisor B'!S15&lt;&gt;"",'Revisor B'!S15,IF('Revisor B'!R15="","não preenchido",IF(LOWER(TRIM('Revisor B'!R15))=LOWER(TRIM(INDEX(Gabarito!$H:$H,MATCH($A15,Gabarito!$A:$A,0)))),"confere","diverge")))</f>
        <v/>
      </c>
      <c r="J15">
        <f>IF('Revisor B'!U15&lt;&gt;"",'Revisor B'!U15,IF('Revisor B'!T15="","não preenchido",IF(LOWER(TRIM('Revisor B'!T15))=LOWER(TRIM(INDEX(Gabarito!$I:$I,MATCH($A15,Gabarito!$A:$A,0)))),"confere","diverge")))</f>
        <v/>
      </c>
      <c r="K15">
        <f>IF('Revisor B'!W15&lt;&gt;"",'Revisor B'!W15,IF('Revisor B'!V15="","não preenchido",IF(LOWER(TRIM('Revisor B'!V15))=LOWER(TRIM(INDEX(Gabarito!$J:$J,MATCH($A15,Gabarito!$A:$A,0)))),"confere","diverge")))</f>
        <v/>
      </c>
      <c r="L15">
        <f>IF('Revisor B'!AB15="","não preenchido",'Revisor B'!AB15)</f>
        <v/>
      </c>
      <c r="M15">
        <f>IF('Revisor B'!AC15="","não preenchido",'Revisor B'!AC15)</f>
        <v/>
      </c>
      <c r="N15">
        <f>COUNTIF(C15:K15,"diverge")</f>
        <v/>
      </c>
      <c r="O15">
        <f>IF(COUNTIF(C15:K15,"não preenchido")=9,"não preenchido",IF(N15&gt;0,"diverge","confere"))</f>
        <v/>
      </c>
      <c r="P15">
        <f>IFERROR(INDEX('Apuração A'!$C$2:$C$101,MATCH($A15,'Apuração A'!$A$2:$A$101,0)),"")</f>
        <v/>
      </c>
      <c r="Q15">
        <f>IFERROR(INDEX('Apuração A'!$D$2:$D$101,MATCH($A15,'Apuração A'!$A$2:$A$101,0)),"")</f>
        <v/>
      </c>
      <c r="R15">
        <f>IFERROR(INDEX('Apuração A'!$E$2:$E$101,MATCH($A15,'Apuração A'!$A$2:$A$101,0)),"")</f>
        <v/>
      </c>
      <c r="S15">
        <f>IFERROR(INDEX('Apuração A'!$F$2:$F$101,MATCH($A15,'Apuração A'!$A$2:$A$101,0)),"")</f>
        <v/>
      </c>
      <c r="T15">
        <f>IFERROR(INDEX('Apuração A'!$G$2:$G$101,MATCH($A15,'Apuração A'!$A$2:$A$101,0)),"")</f>
        <v/>
      </c>
      <c r="U15">
        <f>IFERROR(INDEX('Apuração A'!$H$2:$H$101,MATCH($A15,'Apuração A'!$A$2:$A$101,0)),"")</f>
        <v/>
      </c>
      <c r="V15">
        <f>IFERROR(INDEX('Apuração A'!$I$2:$I$101,MATCH($A15,'Apuração A'!$A$2:$A$101,0)),"")</f>
        <v/>
      </c>
      <c r="W15">
        <f>IFERROR(INDEX('Apuração A'!$J$2:$J$101,MATCH($A15,'Apuração A'!$A$2:$A$101,0)),"")</f>
        <v/>
      </c>
      <c r="X15">
        <f>IFERROR(INDEX('Apuração A'!$K$2:$K$101,MATCH($A15,'Apuração A'!$A$2:$A$101,0)),"")</f>
        <v/>
      </c>
    </row>
    <row r="16">
      <c r="A16">
        <f>'Revisor B'!A16</f>
        <v/>
      </c>
      <c r="B16">
        <f>IFERROR(INDEX(Gabarito!$M:$M,MATCH($A16,Gabarito!$A:$A,0)),"")</f>
        <v/>
      </c>
      <c r="C16">
        <f>IF('Revisor B'!G16&lt;&gt;"",'Revisor B'!G16,IF('Revisor B'!F16="","não preenchido",IF(ABS(N('Revisor B'!F16)-N(INDEX(Gabarito!$B:$B,MATCH($A16,Gabarito!$A:$A,0))))&lt;=1,"confere","diverge")))</f>
        <v/>
      </c>
      <c r="D16">
        <f>IF('Revisor B'!I16&lt;&gt;"",'Revisor B'!I16,IF('Revisor B'!H16="","não preenchido",IF(ABS(N('Revisor B'!H16)-N(INDEX(Gabarito!$C:$C,MATCH($A16,Gabarito!$A:$A,0))))&lt;=1,"confere","diverge")))</f>
        <v/>
      </c>
      <c r="E16">
        <f>IF('Revisor B'!K16&lt;&gt;"",'Revisor B'!K16,IF('Revisor B'!J16="","não preenchido",IF(LOWER(TRIM('Revisor B'!J16))=LOWER(TRIM(INDEX(Gabarito!$D:$D,MATCH($A16,Gabarito!$A:$A,0)))),"confere","diverge")))</f>
        <v/>
      </c>
      <c r="F16">
        <f>IF('Revisor B'!M16&lt;&gt;"",'Revisor B'!M16,IF('Revisor B'!L16="","não preenchido",IF(LOWER(TRIM('Revisor B'!L16))=LOWER(TRIM(INDEX(Gabarito!$E:$E,MATCH($A16,Gabarito!$A:$A,0)))),"confere","diverge")))</f>
        <v/>
      </c>
      <c r="G16">
        <f>IF('Revisor B'!O16&lt;&gt;"",'Revisor B'!O16,IF('Revisor B'!N16="","não preenchido",IF(LOWER(TRIM('Revisor B'!N16))=LOWER(TRIM(INDEX(Gabarito!$F:$F,MATCH($A16,Gabarito!$A:$A,0)))),"confere","diverge")))</f>
        <v/>
      </c>
      <c r="H16">
        <f>IF('Revisor B'!Q16&lt;&gt;"",'Revisor B'!Q16,IF('Revisor B'!P16="","não preenchido",IF(LOWER(TRIM('Revisor B'!P16))=LOWER(TRIM(INDEX(Gabarito!$G:$G,MATCH($A16,Gabarito!$A:$A,0)))),"confere","diverge")))</f>
        <v/>
      </c>
      <c r="I16">
        <f>IF('Revisor B'!S16&lt;&gt;"",'Revisor B'!S16,IF('Revisor B'!R16="","não preenchido",IF(LOWER(TRIM('Revisor B'!R16))=LOWER(TRIM(INDEX(Gabarito!$H:$H,MATCH($A16,Gabarito!$A:$A,0)))),"confere","diverge")))</f>
        <v/>
      </c>
      <c r="J16">
        <f>IF('Revisor B'!U16&lt;&gt;"",'Revisor B'!U16,IF('Revisor B'!T16="","não preenchido",IF(LOWER(TRIM('Revisor B'!T16))=LOWER(TRIM(INDEX(Gabarito!$I:$I,MATCH($A16,Gabarito!$A:$A,0)))),"confere","diverge")))</f>
        <v/>
      </c>
      <c r="K16">
        <f>IF('Revisor B'!W16&lt;&gt;"",'Revisor B'!W16,IF('Revisor B'!V16="","não preenchido",IF(LOWER(TRIM('Revisor B'!V16))=LOWER(TRIM(INDEX(Gabarito!$J:$J,MATCH($A16,Gabarito!$A:$A,0)))),"confere","diverge")))</f>
        <v/>
      </c>
      <c r="L16">
        <f>IF('Revisor B'!AB16="","não preenchido",'Revisor B'!AB16)</f>
        <v/>
      </c>
      <c r="M16">
        <f>IF('Revisor B'!AC16="","não preenchido",'Revisor B'!AC16)</f>
        <v/>
      </c>
      <c r="N16">
        <f>COUNTIF(C16:K16,"diverge")</f>
        <v/>
      </c>
      <c r="O16">
        <f>IF(COUNTIF(C16:K16,"não preenchido")=9,"não preenchido",IF(N16&gt;0,"diverge","confere"))</f>
        <v/>
      </c>
      <c r="P16">
        <f>IFERROR(INDEX('Apuração A'!$C$2:$C$101,MATCH($A16,'Apuração A'!$A$2:$A$101,0)),"")</f>
        <v/>
      </c>
      <c r="Q16">
        <f>IFERROR(INDEX('Apuração A'!$D$2:$D$101,MATCH($A16,'Apuração A'!$A$2:$A$101,0)),"")</f>
        <v/>
      </c>
      <c r="R16">
        <f>IFERROR(INDEX('Apuração A'!$E$2:$E$101,MATCH($A16,'Apuração A'!$A$2:$A$101,0)),"")</f>
        <v/>
      </c>
      <c r="S16">
        <f>IFERROR(INDEX('Apuração A'!$F$2:$F$101,MATCH($A16,'Apuração A'!$A$2:$A$101,0)),"")</f>
        <v/>
      </c>
      <c r="T16">
        <f>IFERROR(INDEX('Apuração A'!$G$2:$G$101,MATCH($A16,'Apuração A'!$A$2:$A$101,0)),"")</f>
        <v/>
      </c>
      <c r="U16">
        <f>IFERROR(INDEX('Apuração A'!$H$2:$H$101,MATCH($A16,'Apuração A'!$A$2:$A$101,0)),"")</f>
        <v/>
      </c>
      <c r="V16">
        <f>IFERROR(INDEX('Apuração A'!$I$2:$I$101,MATCH($A16,'Apuração A'!$A$2:$A$101,0)),"")</f>
        <v/>
      </c>
      <c r="W16">
        <f>IFERROR(INDEX('Apuração A'!$J$2:$J$101,MATCH($A16,'Apuração A'!$A$2:$A$101,0)),"")</f>
        <v/>
      </c>
      <c r="X16">
        <f>IFERROR(INDEX('Apuração A'!$K$2:$K$101,MATCH($A16,'Apuração A'!$A$2:$A$101,0)),"")</f>
        <v/>
      </c>
    </row>
    <row r="17">
      <c r="A17">
        <f>'Revisor B'!A17</f>
        <v/>
      </c>
      <c r="B17">
        <f>IFERROR(INDEX(Gabarito!$M:$M,MATCH($A17,Gabarito!$A:$A,0)),"")</f>
        <v/>
      </c>
      <c r="C17">
        <f>IF('Revisor B'!G17&lt;&gt;"",'Revisor B'!G17,IF('Revisor B'!F17="","não preenchido",IF(ABS(N('Revisor B'!F17)-N(INDEX(Gabarito!$B:$B,MATCH($A17,Gabarito!$A:$A,0))))&lt;=1,"confere","diverge")))</f>
        <v/>
      </c>
      <c r="D17">
        <f>IF('Revisor B'!I17&lt;&gt;"",'Revisor B'!I17,IF('Revisor B'!H17="","não preenchido",IF(ABS(N('Revisor B'!H17)-N(INDEX(Gabarito!$C:$C,MATCH($A17,Gabarito!$A:$A,0))))&lt;=1,"confere","diverge")))</f>
        <v/>
      </c>
      <c r="E17">
        <f>IF('Revisor B'!K17&lt;&gt;"",'Revisor B'!K17,IF('Revisor B'!J17="","não preenchido",IF(LOWER(TRIM('Revisor B'!J17))=LOWER(TRIM(INDEX(Gabarito!$D:$D,MATCH($A17,Gabarito!$A:$A,0)))),"confere","diverge")))</f>
        <v/>
      </c>
      <c r="F17">
        <f>IF('Revisor B'!M17&lt;&gt;"",'Revisor B'!M17,IF('Revisor B'!L17="","não preenchido",IF(LOWER(TRIM('Revisor B'!L17))=LOWER(TRIM(INDEX(Gabarito!$E:$E,MATCH($A17,Gabarito!$A:$A,0)))),"confere","diverge")))</f>
        <v/>
      </c>
      <c r="G17">
        <f>IF('Revisor B'!O17&lt;&gt;"",'Revisor B'!O17,IF('Revisor B'!N17="","não preenchido",IF(LOWER(TRIM('Revisor B'!N17))=LOWER(TRIM(INDEX(Gabarito!$F:$F,MATCH($A17,Gabarito!$A:$A,0)))),"confere","diverge")))</f>
        <v/>
      </c>
      <c r="H17">
        <f>IF('Revisor B'!Q17&lt;&gt;"",'Revisor B'!Q17,IF('Revisor B'!P17="","não preenchido",IF(LOWER(TRIM('Revisor B'!P17))=LOWER(TRIM(INDEX(Gabarito!$G:$G,MATCH($A17,Gabarito!$A:$A,0)))),"confere","diverge")))</f>
        <v/>
      </c>
      <c r="I17">
        <f>IF('Revisor B'!S17&lt;&gt;"",'Revisor B'!S17,IF('Revisor B'!R17="","não preenchido",IF(LOWER(TRIM('Revisor B'!R17))=LOWER(TRIM(INDEX(Gabarito!$H:$H,MATCH($A17,Gabarito!$A:$A,0)))),"confere","diverge")))</f>
        <v/>
      </c>
      <c r="J17">
        <f>IF('Revisor B'!U17&lt;&gt;"",'Revisor B'!U17,IF('Revisor B'!T17="","não preenchido",IF(LOWER(TRIM('Revisor B'!T17))=LOWER(TRIM(INDEX(Gabarito!$I:$I,MATCH($A17,Gabarito!$A:$A,0)))),"confere","diverge")))</f>
        <v/>
      </c>
      <c r="K17">
        <f>IF('Revisor B'!W17&lt;&gt;"",'Revisor B'!W17,IF('Revisor B'!V17="","não preenchido",IF(LOWER(TRIM('Revisor B'!V17))=LOWER(TRIM(INDEX(Gabarito!$J:$J,MATCH($A17,Gabarito!$A:$A,0)))),"confere","diverge")))</f>
        <v/>
      </c>
      <c r="L17">
        <f>IF('Revisor B'!AB17="","não preenchido",'Revisor B'!AB17)</f>
        <v/>
      </c>
      <c r="M17">
        <f>IF('Revisor B'!AC17="","não preenchido",'Revisor B'!AC17)</f>
        <v/>
      </c>
      <c r="N17">
        <f>COUNTIF(C17:K17,"diverge")</f>
        <v/>
      </c>
      <c r="O17">
        <f>IF(COUNTIF(C17:K17,"não preenchido")=9,"não preenchido",IF(N17&gt;0,"diverge","confere"))</f>
        <v/>
      </c>
      <c r="P17">
        <f>IFERROR(INDEX('Apuração A'!$C$2:$C$101,MATCH($A17,'Apuração A'!$A$2:$A$101,0)),"")</f>
        <v/>
      </c>
      <c r="Q17">
        <f>IFERROR(INDEX('Apuração A'!$D$2:$D$101,MATCH($A17,'Apuração A'!$A$2:$A$101,0)),"")</f>
        <v/>
      </c>
      <c r="R17">
        <f>IFERROR(INDEX('Apuração A'!$E$2:$E$101,MATCH($A17,'Apuração A'!$A$2:$A$101,0)),"")</f>
        <v/>
      </c>
      <c r="S17">
        <f>IFERROR(INDEX('Apuração A'!$F$2:$F$101,MATCH($A17,'Apuração A'!$A$2:$A$101,0)),"")</f>
        <v/>
      </c>
      <c r="T17">
        <f>IFERROR(INDEX('Apuração A'!$G$2:$G$101,MATCH($A17,'Apuração A'!$A$2:$A$101,0)),"")</f>
        <v/>
      </c>
      <c r="U17">
        <f>IFERROR(INDEX('Apuração A'!$H$2:$H$101,MATCH($A17,'Apuração A'!$A$2:$A$101,0)),"")</f>
        <v/>
      </c>
      <c r="V17">
        <f>IFERROR(INDEX('Apuração A'!$I$2:$I$101,MATCH($A17,'Apuração A'!$A$2:$A$101,0)),"")</f>
        <v/>
      </c>
      <c r="W17">
        <f>IFERROR(INDEX('Apuração A'!$J$2:$J$101,MATCH($A17,'Apuração A'!$A$2:$A$101,0)),"")</f>
        <v/>
      </c>
      <c r="X17">
        <f>IFERROR(INDEX('Apuração A'!$K$2:$K$101,MATCH($A17,'Apuração A'!$A$2:$A$101,0)),"")</f>
        <v/>
      </c>
    </row>
    <row r="18">
      <c r="A18">
        <f>'Revisor B'!A18</f>
        <v/>
      </c>
      <c r="B18">
        <f>IFERROR(INDEX(Gabarito!$M:$M,MATCH($A18,Gabarito!$A:$A,0)),"")</f>
        <v/>
      </c>
      <c r="C18">
        <f>IF('Revisor B'!G18&lt;&gt;"",'Revisor B'!G18,IF('Revisor B'!F18="","não preenchido",IF(ABS(N('Revisor B'!F18)-N(INDEX(Gabarito!$B:$B,MATCH($A18,Gabarito!$A:$A,0))))&lt;=1,"confere","diverge")))</f>
        <v/>
      </c>
      <c r="D18">
        <f>IF('Revisor B'!I18&lt;&gt;"",'Revisor B'!I18,IF('Revisor B'!H18="","não preenchido",IF(ABS(N('Revisor B'!H18)-N(INDEX(Gabarito!$C:$C,MATCH($A18,Gabarito!$A:$A,0))))&lt;=1,"confere","diverge")))</f>
        <v/>
      </c>
      <c r="E18">
        <f>IF('Revisor B'!K18&lt;&gt;"",'Revisor B'!K18,IF('Revisor B'!J18="","não preenchido",IF(LOWER(TRIM('Revisor B'!J18))=LOWER(TRIM(INDEX(Gabarito!$D:$D,MATCH($A18,Gabarito!$A:$A,0)))),"confere","diverge")))</f>
        <v/>
      </c>
      <c r="F18">
        <f>IF('Revisor B'!M18&lt;&gt;"",'Revisor B'!M18,IF('Revisor B'!L18="","não preenchido",IF(LOWER(TRIM('Revisor B'!L18))=LOWER(TRIM(INDEX(Gabarito!$E:$E,MATCH($A18,Gabarito!$A:$A,0)))),"confere","diverge")))</f>
        <v/>
      </c>
      <c r="G18">
        <f>IF('Revisor B'!O18&lt;&gt;"",'Revisor B'!O18,IF('Revisor B'!N18="","não preenchido",IF(LOWER(TRIM('Revisor B'!N18))=LOWER(TRIM(INDEX(Gabarito!$F:$F,MATCH($A18,Gabarito!$A:$A,0)))),"confere","diverge")))</f>
        <v/>
      </c>
      <c r="H18">
        <f>IF('Revisor B'!Q18&lt;&gt;"",'Revisor B'!Q18,IF('Revisor B'!P18="","não preenchido",IF(LOWER(TRIM('Revisor B'!P18))=LOWER(TRIM(INDEX(Gabarito!$G:$G,MATCH($A18,Gabarito!$A:$A,0)))),"confere","diverge")))</f>
        <v/>
      </c>
      <c r="I18">
        <f>IF('Revisor B'!S18&lt;&gt;"",'Revisor B'!S18,IF('Revisor B'!R18="","não preenchido",IF(LOWER(TRIM('Revisor B'!R18))=LOWER(TRIM(INDEX(Gabarito!$H:$H,MATCH($A18,Gabarito!$A:$A,0)))),"confere","diverge")))</f>
        <v/>
      </c>
      <c r="J18">
        <f>IF('Revisor B'!U18&lt;&gt;"",'Revisor B'!U18,IF('Revisor B'!T18="","não preenchido",IF(LOWER(TRIM('Revisor B'!T18))=LOWER(TRIM(INDEX(Gabarito!$I:$I,MATCH($A18,Gabarito!$A:$A,0)))),"confere","diverge")))</f>
        <v/>
      </c>
      <c r="K18">
        <f>IF('Revisor B'!W18&lt;&gt;"",'Revisor B'!W18,IF('Revisor B'!V18="","não preenchido",IF(LOWER(TRIM('Revisor B'!V18))=LOWER(TRIM(INDEX(Gabarito!$J:$J,MATCH($A18,Gabarito!$A:$A,0)))),"confere","diverge")))</f>
        <v/>
      </c>
      <c r="L18">
        <f>IF('Revisor B'!AB18="","não preenchido",'Revisor B'!AB18)</f>
        <v/>
      </c>
      <c r="M18">
        <f>IF('Revisor B'!AC18="","não preenchido",'Revisor B'!AC18)</f>
        <v/>
      </c>
      <c r="N18">
        <f>COUNTIF(C18:K18,"diverge")</f>
        <v/>
      </c>
      <c r="O18">
        <f>IF(COUNTIF(C18:K18,"não preenchido")=9,"não preenchido",IF(N18&gt;0,"diverge","confere"))</f>
        <v/>
      </c>
      <c r="P18">
        <f>IFERROR(INDEX('Apuração A'!$C$2:$C$101,MATCH($A18,'Apuração A'!$A$2:$A$101,0)),"")</f>
        <v/>
      </c>
      <c r="Q18">
        <f>IFERROR(INDEX('Apuração A'!$D$2:$D$101,MATCH($A18,'Apuração A'!$A$2:$A$101,0)),"")</f>
        <v/>
      </c>
      <c r="R18">
        <f>IFERROR(INDEX('Apuração A'!$E$2:$E$101,MATCH($A18,'Apuração A'!$A$2:$A$101,0)),"")</f>
        <v/>
      </c>
      <c r="S18">
        <f>IFERROR(INDEX('Apuração A'!$F$2:$F$101,MATCH($A18,'Apuração A'!$A$2:$A$101,0)),"")</f>
        <v/>
      </c>
      <c r="T18">
        <f>IFERROR(INDEX('Apuração A'!$G$2:$G$101,MATCH($A18,'Apuração A'!$A$2:$A$101,0)),"")</f>
        <v/>
      </c>
      <c r="U18">
        <f>IFERROR(INDEX('Apuração A'!$H$2:$H$101,MATCH($A18,'Apuração A'!$A$2:$A$101,0)),"")</f>
        <v/>
      </c>
      <c r="V18">
        <f>IFERROR(INDEX('Apuração A'!$I$2:$I$101,MATCH($A18,'Apuração A'!$A$2:$A$101,0)),"")</f>
        <v/>
      </c>
      <c r="W18">
        <f>IFERROR(INDEX('Apuração A'!$J$2:$J$101,MATCH($A18,'Apuração A'!$A$2:$A$101,0)),"")</f>
        <v/>
      </c>
      <c r="X18">
        <f>IFERROR(INDEX('Apuração A'!$K$2:$K$101,MATCH($A18,'Apuração A'!$A$2:$A$101,0)),"")</f>
        <v/>
      </c>
    </row>
    <row r="19">
      <c r="A19">
        <f>'Revisor B'!A19</f>
        <v/>
      </c>
      <c r="B19">
        <f>IFERROR(INDEX(Gabarito!$M:$M,MATCH($A19,Gabarito!$A:$A,0)),"")</f>
        <v/>
      </c>
      <c r="C19">
        <f>IF('Revisor B'!G19&lt;&gt;"",'Revisor B'!G19,IF('Revisor B'!F19="","não preenchido",IF(ABS(N('Revisor B'!F19)-N(INDEX(Gabarito!$B:$B,MATCH($A19,Gabarito!$A:$A,0))))&lt;=1,"confere","diverge")))</f>
        <v/>
      </c>
      <c r="D19">
        <f>IF('Revisor B'!I19&lt;&gt;"",'Revisor B'!I19,IF('Revisor B'!H19="","não preenchido",IF(ABS(N('Revisor B'!H19)-N(INDEX(Gabarito!$C:$C,MATCH($A19,Gabarito!$A:$A,0))))&lt;=1,"confere","diverge")))</f>
        <v/>
      </c>
      <c r="E19">
        <f>IF('Revisor B'!K19&lt;&gt;"",'Revisor B'!K19,IF('Revisor B'!J19="","não preenchido",IF(LOWER(TRIM('Revisor B'!J19))=LOWER(TRIM(INDEX(Gabarito!$D:$D,MATCH($A19,Gabarito!$A:$A,0)))),"confere","diverge")))</f>
        <v/>
      </c>
      <c r="F19">
        <f>IF('Revisor B'!M19&lt;&gt;"",'Revisor B'!M19,IF('Revisor B'!L19="","não preenchido",IF(LOWER(TRIM('Revisor B'!L19))=LOWER(TRIM(INDEX(Gabarito!$E:$E,MATCH($A19,Gabarito!$A:$A,0)))),"confere","diverge")))</f>
        <v/>
      </c>
      <c r="G19">
        <f>IF('Revisor B'!O19&lt;&gt;"",'Revisor B'!O19,IF('Revisor B'!N19="","não preenchido",IF(LOWER(TRIM('Revisor B'!N19))=LOWER(TRIM(INDEX(Gabarito!$F:$F,MATCH($A19,Gabarito!$A:$A,0)))),"confere","diverge")))</f>
        <v/>
      </c>
      <c r="H19">
        <f>IF('Revisor B'!Q19&lt;&gt;"",'Revisor B'!Q19,IF('Revisor B'!P19="","não preenchido",IF(LOWER(TRIM('Revisor B'!P19))=LOWER(TRIM(INDEX(Gabarito!$G:$G,MATCH($A19,Gabarito!$A:$A,0)))),"confere","diverge")))</f>
        <v/>
      </c>
      <c r="I19">
        <f>IF('Revisor B'!S19&lt;&gt;"",'Revisor B'!S19,IF('Revisor B'!R19="","não preenchido",IF(LOWER(TRIM('Revisor B'!R19))=LOWER(TRIM(INDEX(Gabarito!$H:$H,MATCH($A19,Gabarito!$A:$A,0)))),"confere","diverge")))</f>
        <v/>
      </c>
      <c r="J19">
        <f>IF('Revisor B'!U19&lt;&gt;"",'Revisor B'!U19,IF('Revisor B'!T19="","não preenchido",IF(LOWER(TRIM('Revisor B'!T19))=LOWER(TRIM(INDEX(Gabarito!$I:$I,MATCH($A19,Gabarito!$A:$A,0)))),"confere","diverge")))</f>
        <v/>
      </c>
      <c r="K19">
        <f>IF('Revisor B'!W19&lt;&gt;"",'Revisor B'!W19,IF('Revisor B'!V19="","não preenchido",IF(LOWER(TRIM('Revisor B'!V19))=LOWER(TRIM(INDEX(Gabarito!$J:$J,MATCH($A19,Gabarito!$A:$A,0)))),"confere","diverge")))</f>
        <v/>
      </c>
      <c r="L19">
        <f>IF('Revisor B'!AB19="","não preenchido",'Revisor B'!AB19)</f>
        <v/>
      </c>
      <c r="M19">
        <f>IF('Revisor B'!AC19="","não preenchido",'Revisor B'!AC19)</f>
        <v/>
      </c>
      <c r="N19">
        <f>COUNTIF(C19:K19,"diverge")</f>
        <v/>
      </c>
      <c r="O19">
        <f>IF(COUNTIF(C19:K19,"não preenchido")=9,"não preenchido",IF(N19&gt;0,"diverge","confere"))</f>
        <v/>
      </c>
      <c r="P19">
        <f>IFERROR(INDEX('Apuração A'!$C$2:$C$101,MATCH($A19,'Apuração A'!$A$2:$A$101,0)),"")</f>
        <v/>
      </c>
      <c r="Q19">
        <f>IFERROR(INDEX('Apuração A'!$D$2:$D$101,MATCH($A19,'Apuração A'!$A$2:$A$101,0)),"")</f>
        <v/>
      </c>
      <c r="R19">
        <f>IFERROR(INDEX('Apuração A'!$E$2:$E$101,MATCH($A19,'Apuração A'!$A$2:$A$101,0)),"")</f>
        <v/>
      </c>
      <c r="S19">
        <f>IFERROR(INDEX('Apuração A'!$F$2:$F$101,MATCH($A19,'Apuração A'!$A$2:$A$101,0)),"")</f>
        <v/>
      </c>
      <c r="T19">
        <f>IFERROR(INDEX('Apuração A'!$G$2:$G$101,MATCH($A19,'Apuração A'!$A$2:$A$101,0)),"")</f>
        <v/>
      </c>
      <c r="U19">
        <f>IFERROR(INDEX('Apuração A'!$H$2:$H$101,MATCH($A19,'Apuração A'!$A$2:$A$101,0)),"")</f>
        <v/>
      </c>
      <c r="V19">
        <f>IFERROR(INDEX('Apuração A'!$I$2:$I$101,MATCH($A19,'Apuração A'!$A$2:$A$101,0)),"")</f>
        <v/>
      </c>
      <c r="W19">
        <f>IFERROR(INDEX('Apuração A'!$J$2:$J$101,MATCH($A19,'Apuração A'!$A$2:$A$101,0)),"")</f>
        <v/>
      </c>
      <c r="X19">
        <f>IFERROR(INDEX('Apuração A'!$K$2:$K$101,MATCH($A19,'Apuração A'!$A$2:$A$101,0)),"")</f>
        <v/>
      </c>
    </row>
    <row r="20">
      <c r="A20">
        <f>'Revisor B'!A20</f>
        <v/>
      </c>
      <c r="B20">
        <f>IFERROR(INDEX(Gabarito!$M:$M,MATCH($A20,Gabarito!$A:$A,0)),"")</f>
        <v/>
      </c>
      <c r="C20">
        <f>IF('Revisor B'!G20&lt;&gt;"",'Revisor B'!G20,IF('Revisor B'!F20="","não preenchido",IF(ABS(N('Revisor B'!F20)-N(INDEX(Gabarito!$B:$B,MATCH($A20,Gabarito!$A:$A,0))))&lt;=1,"confere","diverge")))</f>
        <v/>
      </c>
      <c r="D20">
        <f>IF('Revisor B'!I20&lt;&gt;"",'Revisor B'!I20,IF('Revisor B'!H20="","não preenchido",IF(ABS(N('Revisor B'!H20)-N(INDEX(Gabarito!$C:$C,MATCH($A20,Gabarito!$A:$A,0))))&lt;=1,"confere","diverge")))</f>
        <v/>
      </c>
      <c r="E20">
        <f>IF('Revisor B'!K20&lt;&gt;"",'Revisor B'!K20,IF('Revisor B'!J20="","não preenchido",IF(LOWER(TRIM('Revisor B'!J20))=LOWER(TRIM(INDEX(Gabarito!$D:$D,MATCH($A20,Gabarito!$A:$A,0)))),"confere","diverge")))</f>
        <v/>
      </c>
      <c r="F20">
        <f>IF('Revisor B'!M20&lt;&gt;"",'Revisor B'!M20,IF('Revisor B'!L20="","não preenchido",IF(LOWER(TRIM('Revisor B'!L20))=LOWER(TRIM(INDEX(Gabarito!$E:$E,MATCH($A20,Gabarito!$A:$A,0)))),"confere","diverge")))</f>
        <v/>
      </c>
      <c r="G20">
        <f>IF('Revisor B'!O20&lt;&gt;"",'Revisor B'!O20,IF('Revisor B'!N20="","não preenchido",IF(LOWER(TRIM('Revisor B'!N20))=LOWER(TRIM(INDEX(Gabarito!$F:$F,MATCH($A20,Gabarito!$A:$A,0)))),"confere","diverge")))</f>
        <v/>
      </c>
      <c r="H20">
        <f>IF('Revisor B'!Q20&lt;&gt;"",'Revisor B'!Q20,IF('Revisor B'!P20="","não preenchido",IF(LOWER(TRIM('Revisor B'!P20))=LOWER(TRIM(INDEX(Gabarito!$G:$G,MATCH($A20,Gabarito!$A:$A,0)))),"confere","diverge")))</f>
        <v/>
      </c>
      <c r="I20">
        <f>IF('Revisor B'!S20&lt;&gt;"",'Revisor B'!S20,IF('Revisor B'!R20="","não preenchido",IF(LOWER(TRIM('Revisor B'!R20))=LOWER(TRIM(INDEX(Gabarito!$H:$H,MATCH($A20,Gabarito!$A:$A,0)))),"confere","diverge")))</f>
        <v/>
      </c>
      <c r="J20">
        <f>IF('Revisor B'!U20&lt;&gt;"",'Revisor B'!U20,IF('Revisor B'!T20="","não preenchido",IF(LOWER(TRIM('Revisor B'!T20))=LOWER(TRIM(INDEX(Gabarito!$I:$I,MATCH($A20,Gabarito!$A:$A,0)))),"confere","diverge")))</f>
        <v/>
      </c>
      <c r="K20">
        <f>IF('Revisor B'!W20&lt;&gt;"",'Revisor B'!W20,IF('Revisor B'!V20="","não preenchido",IF(LOWER(TRIM('Revisor B'!V20))=LOWER(TRIM(INDEX(Gabarito!$J:$J,MATCH($A20,Gabarito!$A:$A,0)))),"confere","diverge")))</f>
        <v/>
      </c>
      <c r="L20">
        <f>IF('Revisor B'!AB20="","não preenchido",'Revisor B'!AB20)</f>
        <v/>
      </c>
      <c r="M20">
        <f>IF('Revisor B'!AC20="","não preenchido",'Revisor B'!AC20)</f>
        <v/>
      </c>
      <c r="N20">
        <f>COUNTIF(C20:K20,"diverge")</f>
        <v/>
      </c>
      <c r="O20">
        <f>IF(COUNTIF(C20:K20,"não preenchido")=9,"não preenchido",IF(N20&gt;0,"diverge","confere"))</f>
        <v/>
      </c>
      <c r="P20">
        <f>IFERROR(INDEX('Apuração A'!$C$2:$C$101,MATCH($A20,'Apuração A'!$A$2:$A$101,0)),"")</f>
        <v/>
      </c>
      <c r="Q20">
        <f>IFERROR(INDEX('Apuração A'!$D$2:$D$101,MATCH($A20,'Apuração A'!$A$2:$A$101,0)),"")</f>
        <v/>
      </c>
      <c r="R20">
        <f>IFERROR(INDEX('Apuração A'!$E$2:$E$101,MATCH($A20,'Apuração A'!$A$2:$A$101,0)),"")</f>
        <v/>
      </c>
      <c r="S20">
        <f>IFERROR(INDEX('Apuração A'!$F$2:$F$101,MATCH($A20,'Apuração A'!$A$2:$A$101,0)),"")</f>
        <v/>
      </c>
      <c r="T20">
        <f>IFERROR(INDEX('Apuração A'!$G$2:$G$101,MATCH($A20,'Apuração A'!$A$2:$A$101,0)),"")</f>
        <v/>
      </c>
      <c r="U20">
        <f>IFERROR(INDEX('Apuração A'!$H$2:$H$101,MATCH($A20,'Apuração A'!$A$2:$A$101,0)),"")</f>
        <v/>
      </c>
      <c r="V20">
        <f>IFERROR(INDEX('Apuração A'!$I$2:$I$101,MATCH($A20,'Apuração A'!$A$2:$A$101,0)),"")</f>
        <v/>
      </c>
      <c r="W20">
        <f>IFERROR(INDEX('Apuração A'!$J$2:$J$101,MATCH($A20,'Apuração A'!$A$2:$A$101,0)),"")</f>
        <v/>
      </c>
      <c r="X20">
        <f>IFERROR(INDEX('Apuração A'!$K$2:$K$101,MATCH($A20,'Apuração A'!$A$2:$A$101,0)),"")</f>
        <v/>
      </c>
    </row>
    <row r="21">
      <c r="A21">
        <f>'Revisor B'!A21</f>
        <v/>
      </c>
      <c r="B21">
        <f>IFERROR(INDEX(Gabarito!$M:$M,MATCH($A21,Gabarito!$A:$A,0)),"")</f>
        <v/>
      </c>
      <c r="C21">
        <f>IF('Revisor B'!G21&lt;&gt;"",'Revisor B'!G21,IF('Revisor B'!F21="","não preenchido",IF(ABS(N('Revisor B'!F21)-N(INDEX(Gabarito!$B:$B,MATCH($A21,Gabarito!$A:$A,0))))&lt;=1,"confere","diverge")))</f>
        <v/>
      </c>
      <c r="D21">
        <f>IF('Revisor B'!I21&lt;&gt;"",'Revisor B'!I21,IF('Revisor B'!H21="","não preenchido",IF(ABS(N('Revisor B'!H21)-N(INDEX(Gabarito!$C:$C,MATCH($A21,Gabarito!$A:$A,0))))&lt;=1,"confere","diverge")))</f>
        <v/>
      </c>
      <c r="E21">
        <f>IF('Revisor B'!K21&lt;&gt;"",'Revisor B'!K21,IF('Revisor B'!J21="","não preenchido",IF(LOWER(TRIM('Revisor B'!J21))=LOWER(TRIM(INDEX(Gabarito!$D:$D,MATCH($A21,Gabarito!$A:$A,0)))),"confere","diverge")))</f>
        <v/>
      </c>
      <c r="F21">
        <f>IF('Revisor B'!M21&lt;&gt;"",'Revisor B'!M21,IF('Revisor B'!L21="","não preenchido",IF(LOWER(TRIM('Revisor B'!L21))=LOWER(TRIM(INDEX(Gabarito!$E:$E,MATCH($A21,Gabarito!$A:$A,0)))),"confere","diverge")))</f>
        <v/>
      </c>
      <c r="G21">
        <f>IF('Revisor B'!O21&lt;&gt;"",'Revisor B'!O21,IF('Revisor B'!N21="","não preenchido",IF(LOWER(TRIM('Revisor B'!N21))=LOWER(TRIM(INDEX(Gabarito!$F:$F,MATCH($A21,Gabarito!$A:$A,0)))),"confere","diverge")))</f>
        <v/>
      </c>
      <c r="H21">
        <f>IF('Revisor B'!Q21&lt;&gt;"",'Revisor B'!Q21,IF('Revisor B'!P21="","não preenchido",IF(LOWER(TRIM('Revisor B'!P21))=LOWER(TRIM(INDEX(Gabarito!$G:$G,MATCH($A21,Gabarito!$A:$A,0)))),"confere","diverge")))</f>
        <v/>
      </c>
      <c r="I21">
        <f>IF('Revisor B'!S21&lt;&gt;"",'Revisor B'!S21,IF('Revisor B'!R21="","não preenchido",IF(LOWER(TRIM('Revisor B'!R21))=LOWER(TRIM(INDEX(Gabarito!$H:$H,MATCH($A21,Gabarito!$A:$A,0)))),"confere","diverge")))</f>
        <v/>
      </c>
      <c r="J21">
        <f>IF('Revisor B'!U21&lt;&gt;"",'Revisor B'!U21,IF('Revisor B'!T21="","não preenchido",IF(LOWER(TRIM('Revisor B'!T21))=LOWER(TRIM(INDEX(Gabarito!$I:$I,MATCH($A21,Gabarito!$A:$A,0)))),"confere","diverge")))</f>
        <v/>
      </c>
      <c r="K21">
        <f>IF('Revisor B'!W21&lt;&gt;"",'Revisor B'!W21,IF('Revisor B'!V21="","não preenchido",IF(LOWER(TRIM('Revisor B'!V21))=LOWER(TRIM(INDEX(Gabarito!$J:$J,MATCH($A21,Gabarito!$A:$A,0)))),"confere","diverge")))</f>
        <v/>
      </c>
      <c r="L21">
        <f>IF('Revisor B'!AB21="","não preenchido",'Revisor B'!AB21)</f>
        <v/>
      </c>
      <c r="M21">
        <f>IF('Revisor B'!AC21="","não preenchido",'Revisor B'!AC21)</f>
        <v/>
      </c>
      <c r="N21">
        <f>COUNTIF(C21:K21,"diverge")</f>
        <v/>
      </c>
      <c r="O21">
        <f>IF(COUNTIF(C21:K21,"não preenchido")=9,"não preenchido",IF(N21&gt;0,"diverge","confere"))</f>
        <v/>
      </c>
      <c r="P21">
        <f>IFERROR(INDEX('Apuração A'!$C$2:$C$101,MATCH($A21,'Apuração A'!$A$2:$A$101,0)),"")</f>
        <v/>
      </c>
      <c r="Q21">
        <f>IFERROR(INDEX('Apuração A'!$D$2:$D$101,MATCH($A21,'Apuração A'!$A$2:$A$101,0)),"")</f>
        <v/>
      </c>
      <c r="R21">
        <f>IFERROR(INDEX('Apuração A'!$E$2:$E$101,MATCH($A21,'Apuração A'!$A$2:$A$101,0)),"")</f>
        <v/>
      </c>
      <c r="S21">
        <f>IFERROR(INDEX('Apuração A'!$F$2:$F$101,MATCH($A21,'Apuração A'!$A$2:$A$101,0)),"")</f>
        <v/>
      </c>
      <c r="T21">
        <f>IFERROR(INDEX('Apuração A'!$G$2:$G$101,MATCH($A21,'Apuração A'!$A$2:$A$101,0)),"")</f>
        <v/>
      </c>
      <c r="U21">
        <f>IFERROR(INDEX('Apuração A'!$H$2:$H$101,MATCH($A21,'Apuração A'!$A$2:$A$101,0)),"")</f>
        <v/>
      </c>
      <c r="V21">
        <f>IFERROR(INDEX('Apuração A'!$I$2:$I$101,MATCH($A21,'Apuração A'!$A$2:$A$101,0)),"")</f>
        <v/>
      </c>
      <c r="W21">
        <f>IFERROR(INDEX('Apuração A'!$J$2:$J$101,MATCH($A21,'Apuração A'!$A$2:$A$101,0)),"")</f>
        <v/>
      </c>
      <c r="X21">
        <f>IFERROR(INDEX('Apuração A'!$K$2:$K$101,MATCH($A21,'Apuração A'!$A$2:$A$101,0)),"")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44" customWidth="1" min="1" max="1"/>
    <col width="14" customWidth="1" min="2" max="2"/>
    <col width="18" customWidth="1" min="3" max="3"/>
    <col width="18" customWidth="1" min="4" max="4"/>
    <col width="18" customWidth="1" min="5" max="5"/>
    <col width="16" customWidth="1" min="6" max="6"/>
    <col width="26" customWidth="1" min="7" max="7"/>
  </cols>
  <sheetData>
    <row r="1">
      <c r="A1" s="1" t="inlineStr">
        <is>
          <t>Apuração da amostra — calculada pelas fórmulas desta planilha</t>
        </is>
      </c>
    </row>
    <row r="2">
      <c r="A2" t="inlineStr">
        <is>
          <t>Intervalos exatos de Clopper-Pearson a 95% (BETA.INV). Mesma conta de scripts/auditoria/apurar.py, que é a referência.</t>
        </is>
      </c>
    </row>
    <row r="4">
      <c r="A4" t="inlineStr">
        <is>
          <t>fichas preenchidas (Revisor A)</t>
        </is>
      </c>
      <c r="B4">
        <f>COUNTIF('Apuração A'!$O$2:$O$101,"confere")+COUNTIF('Apuração A'!$O$2:$O$101,"diverge")</f>
        <v/>
      </c>
    </row>
    <row r="5">
      <c r="A5" t="inlineStr">
        <is>
          <t>registros com divergência S1</t>
        </is>
      </c>
      <c r="B5">
        <f>COUNTIF('Apuração A'!$O$2:$O$101,"diverge")</f>
        <v/>
      </c>
    </row>
    <row r="6">
      <c r="A6" t="inlineStr">
        <is>
          <t>taxa</t>
        </is>
      </c>
      <c r="B6" s="11">
        <f>IF(B4=0,"",B5/B4)</f>
        <v/>
      </c>
    </row>
    <row r="7">
      <c r="A7" t="inlineStr">
        <is>
          <t>IC 95% — inferior</t>
        </is>
      </c>
      <c r="B7" s="11">
        <f>IF(B4=0,"",IF(B5=0,0,_xlfn.BETA.INV(0.025,B5,B4-B5+1)))</f>
        <v/>
      </c>
    </row>
    <row r="8">
      <c r="A8" t="inlineStr">
        <is>
          <t>IC 95% — superior</t>
        </is>
      </c>
      <c r="B8" s="11">
        <f>IF(B4=0,"",IF(B5=B4,1,_xlfn.BETA.INV(0.975,B5+1,B4-B5)))</f>
        <v/>
      </c>
    </row>
    <row r="10">
      <c r="A10" s="12" t="inlineStr">
        <is>
          <t>Por campo (Revisor A)</t>
        </is>
      </c>
    </row>
    <row r="11">
      <c r="A11" s="13" t="inlineStr">
        <is>
          <t>campo</t>
        </is>
      </c>
      <c r="B11" s="13" t="inlineStr">
        <is>
          <t>confere</t>
        </is>
      </c>
      <c r="C11" s="13" t="inlineStr">
        <is>
          <t>diverge</t>
        </is>
      </c>
      <c r="D11" s="13" t="inlineStr">
        <is>
          <t>fonte insuficiente</t>
        </is>
      </c>
      <c r="E11" s="13" t="inlineStr">
        <is>
          <t>juízo discutível</t>
        </is>
      </c>
      <c r="F11" s="13" t="inlineStr">
        <is>
          <t>não preenchido</t>
        </is>
      </c>
      <c r="G11" s="13" t="inlineStr">
        <is>
          <t>IC 95% sup. da divergência</t>
        </is>
      </c>
    </row>
    <row r="12">
      <c r="A12" t="inlineStr">
        <is>
          <t>pena_min</t>
        </is>
      </c>
      <c r="B12">
        <f>COUNTIF('Apuração A'!$C$2:$C$101,"confere")</f>
        <v/>
      </c>
      <c r="C12">
        <f>COUNTIF('Apuração A'!$C$2:$C$101,"diverge")</f>
        <v/>
      </c>
      <c r="D12">
        <f>COUNTIF('Apuração A'!$C$2:$C$101,"fonte insuficiente")</f>
        <v/>
      </c>
      <c r="E12">
        <f>COUNTIF('Apuração A'!$C$2:$C$101,"juízo discutível")</f>
        <v/>
      </c>
      <c r="F12">
        <f>COUNTIF('Apuração A'!$C$2:$C$101,"não preenchido")</f>
        <v/>
      </c>
      <c r="G12" s="11">
        <f>IF(B12+C12=0,"",IF(C12=B12+C12,1,_xlfn.BETA.INV(0.975,C12+1,B12)))</f>
        <v/>
      </c>
    </row>
    <row r="13">
      <c r="A13" t="inlineStr">
        <is>
          <t>pena_max</t>
        </is>
      </c>
      <c r="B13">
        <f>COUNTIF('Apuração A'!$D$2:$D$101,"confere")</f>
        <v/>
      </c>
      <c r="C13">
        <f>COUNTIF('Apuração A'!$D$2:$D$101,"diverge")</f>
        <v/>
      </c>
      <c r="D13">
        <f>COUNTIF('Apuração A'!$D$2:$D$101,"fonte insuficiente")</f>
        <v/>
      </c>
      <c r="E13">
        <f>COUNTIF('Apuração A'!$D$2:$D$101,"juízo discutível")</f>
        <v/>
      </c>
      <c r="F13">
        <f>COUNTIF('Apuração A'!$D$2:$D$101,"não preenchido")</f>
        <v/>
      </c>
      <c r="G13" s="11">
        <f>IF(B13+C13=0,"",IF(C13=B13+C13,1,_xlfn.BETA.INV(0.975,C13+1,B13)))</f>
        <v/>
      </c>
    </row>
    <row r="14">
      <c r="A14" t="inlineStr">
        <is>
          <t>tipo_pena</t>
        </is>
      </c>
      <c r="B14">
        <f>COUNTIF('Apuração A'!$E$2:$E$101,"confere")</f>
        <v/>
      </c>
      <c r="C14">
        <f>COUNTIF('Apuração A'!$E$2:$E$101,"diverge")</f>
        <v/>
      </c>
      <c r="D14">
        <f>COUNTIF('Apuração A'!$E$2:$E$101,"fonte insuficiente")</f>
        <v/>
      </c>
      <c r="E14">
        <f>COUNTIF('Apuração A'!$E$2:$E$101,"juízo discutível")</f>
        <v/>
      </c>
      <c r="F14">
        <f>COUNTIF('Apuração A'!$E$2:$E$101,"não preenchido")</f>
        <v/>
      </c>
      <c r="G14" s="11">
        <f>IF(B14+C14=0,"",IF(C14=B14+C14,1,_xlfn.BETA.INV(0.975,C14+1,B14)))</f>
        <v/>
      </c>
    </row>
    <row r="15">
      <c r="A15" t="inlineStr">
        <is>
          <t>hediondo</t>
        </is>
      </c>
      <c r="B15">
        <f>COUNTIF('Apuração A'!$F$2:$F$101,"confere")</f>
        <v/>
      </c>
      <c r="C15">
        <f>COUNTIF('Apuração A'!$F$2:$F$101,"diverge")</f>
        <v/>
      </c>
      <c r="D15">
        <f>COUNTIF('Apuração A'!$F$2:$F$101,"fonte insuficiente")</f>
        <v/>
      </c>
      <c r="E15">
        <f>COUNTIF('Apuração A'!$F$2:$F$101,"juízo discutível")</f>
        <v/>
      </c>
      <c r="F15">
        <f>COUNTIF('Apuração A'!$F$2:$F$101,"não preenchido")</f>
        <v/>
      </c>
      <c r="G15" s="11">
        <f>IF(B15+C15=0,"",IF(C15=B15+C15,1,_xlfn.BETA.INV(0.975,C15+1,B15)))</f>
        <v/>
      </c>
    </row>
    <row r="16">
      <c r="A16" t="inlineStr">
        <is>
          <t>violencia</t>
        </is>
      </c>
      <c r="B16">
        <f>COUNTIF('Apuração A'!$G$2:$G$101,"confere")</f>
        <v/>
      </c>
      <c r="C16">
        <f>COUNTIF('Apuração A'!$G$2:$G$101,"diverge")</f>
        <v/>
      </c>
      <c r="D16">
        <f>COUNTIF('Apuração A'!$G$2:$G$101,"fonte insuficiente")</f>
        <v/>
      </c>
      <c r="E16">
        <f>COUNTIF('Apuração A'!$G$2:$G$101,"juízo discutível")</f>
        <v/>
      </c>
      <c r="F16">
        <f>COUNTIF('Apuração A'!$G$2:$G$101,"não preenchido")</f>
        <v/>
      </c>
      <c r="G16" s="11">
        <f>IF(B16+C16=0,"",IF(C16=B16+C16,1,_xlfn.BETA.INV(0.975,C16+1,B16)))</f>
        <v/>
      </c>
    </row>
    <row r="17">
      <c r="A17" t="inlineStr">
        <is>
          <t>grave_ameaca</t>
        </is>
      </c>
      <c r="B17">
        <f>COUNTIF('Apuração A'!$H$2:$H$101,"confere")</f>
        <v/>
      </c>
      <c r="C17">
        <f>COUNTIF('Apuração A'!$H$2:$H$101,"diverge")</f>
        <v/>
      </c>
      <c r="D17">
        <f>COUNTIF('Apuração A'!$H$2:$H$101,"fonte insuficiente")</f>
        <v/>
      </c>
      <c r="E17">
        <f>COUNTIF('Apuração A'!$H$2:$H$101,"juízo discutível")</f>
        <v/>
      </c>
      <c r="F17">
        <f>COUNTIF('Apuração A'!$H$2:$H$101,"não preenchido")</f>
        <v/>
      </c>
      <c r="G17" s="11">
        <f>IF(B17+C17=0,"",IF(C17=B17+C17,1,_xlfn.BETA.INV(0.975,C17+1,B17)))</f>
        <v/>
      </c>
    </row>
    <row r="18">
      <c r="A18" t="inlineStr">
        <is>
          <t>elemento</t>
        </is>
      </c>
      <c r="B18">
        <f>COUNTIF('Apuração A'!$I$2:$I$101,"confere")</f>
        <v/>
      </c>
      <c r="C18">
        <f>COUNTIF('Apuração A'!$I$2:$I$101,"diverge")</f>
        <v/>
      </c>
      <c r="D18">
        <f>COUNTIF('Apuração A'!$I$2:$I$101,"fonte insuficiente")</f>
        <v/>
      </c>
      <c r="E18">
        <f>COUNTIF('Apuração A'!$I$2:$I$101,"juízo discutível")</f>
        <v/>
      </c>
      <c r="F18">
        <f>COUNTIF('Apuração A'!$I$2:$I$101,"não preenchido")</f>
        <v/>
      </c>
      <c r="G18" s="11">
        <f>IF(B18+C18=0,"",IF(C18=B18+C18,1,_xlfn.BETA.INV(0.975,C18+1,B18)))</f>
        <v/>
      </c>
    </row>
    <row r="19">
      <c r="A19" t="inlineStr">
        <is>
          <t>tentativa</t>
        </is>
      </c>
      <c r="B19">
        <f>COUNTIF('Apuração A'!$J$2:$J$101,"confere")</f>
        <v/>
      </c>
      <c r="C19">
        <f>COUNTIF('Apuração A'!$J$2:$J$101,"diverge")</f>
        <v/>
      </c>
      <c r="D19">
        <f>COUNTIF('Apuração A'!$J$2:$J$101,"fonte insuficiente")</f>
        <v/>
      </c>
      <c r="E19">
        <f>COUNTIF('Apuração A'!$J$2:$J$101,"juízo discutível")</f>
        <v/>
      </c>
      <c r="F19">
        <f>COUNTIF('Apuração A'!$J$2:$J$101,"não preenchido")</f>
        <v/>
      </c>
      <c r="G19" s="11">
        <f>IF(B19+C19=0,"",IF(C19=B19+C19,1,_xlfn.BETA.INV(0.975,C19+1,B19)))</f>
        <v/>
      </c>
    </row>
    <row r="20">
      <c r="A20" t="inlineStr">
        <is>
          <t>acao</t>
        </is>
      </c>
      <c r="B20">
        <f>COUNTIF('Apuração A'!$K$2:$K$101,"confere")</f>
        <v/>
      </c>
      <c r="C20">
        <f>COUNTIF('Apuração A'!$K$2:$K$101,"diverge")</f>
        <v/>
      </c>
      <c r="D20">
        <f>COUNTIF('Apuração A'!$K$2:$K$101,"fonte insuficiente")</f>
        <v/>
      </c>
      <c r="E20">
        <f>COUNTIF('Apuração A'!$K$2:$K$101,"juízo discutível")</f>
        <v/>
      </c>
      <c r="F20">
        <f>COUNTIF('Apuração A'!$K$2:$K$101,"não preenchido")</f>
        <v/>
      </c>
      <c r="G20" s="11">
        <f>IF(B20+C20=0,"",IF(C20=B20+C20,1,_xlfn.BETA.INV(0.975,C20+1,B20)))</f>
        <v/>
      </c>
    </row>
    <row r="21">
      <c r="A21" t="inlineStr">
        <is>
          <t>nome</t>
        </is>
      </c>
      <c r="B21">
        <f>COUNTIF('Apuração A'!$L$2:$L$101,"confere")</f>
        <v/>
      </c>
      <c r="C21">
        <f>COUNTIF('Apuração A'!$L$2:$L$101,"diverge")</f>
        <v/>
      </c>
      <c r="D21">
        <f>COUNTIF('Apuração A'!$L$2:$L$101,"fonte insuficiente")</f>
        <v/>
      </c>
      <c r="E21">
        <f>COUNTIF('Apuração A'!$L$2:$L$101,"juízo discutível")</f>
        <v/>
      </c>
      <c r="F21">
        <f>COUNTIF('Apuração A'!$L$2:$L$101,"não preenchido")</f>
        <v/>
      </c>
      <c r="G21" s="11">
        <f>IF(B21+C21=0,"",IF(C21=B21+C21,1,_xlfn.BETA.INV(0.975,C21+1,B21)))</f>
        <v/>
      </c>
    </row>
    <row r="22">
      <c r="A22" t="inlineStr">
        <is>
          <t>vigência</t>
        </is>
      </c>
      <c r="B22">
        <f>COUNTIF('Apuração A'!$M$2:$M$101,"confere")</f>
        <v/>
      </c>
      <c r="C22">
        <f>COUNTIF('Apuração A'!$M$2:$M$101,"diverge")</f>
        <v/>
      </c>
      <c r="D22">
        <f>COUNTIF('Apuração A'!$M$2:$M$101,"fonte insuficiente")</f>
        <v/>
      </c>
      <c r="E22">
        <f>COUNTIF('Apuração A'!$M$2:$M$101,"juízo discutível")</f>
        <v/>
      </c>
      <c r="F22">
        <f>COUNTIF('Apuração A'!$M$2:$M$101,"não preenchido")</f>
        <v/>
      </c>
      <c r="G22" s="11">
        <f>IF(B22+C22=0,"",IF(C22=B22+C22,1,_xlfn.BETA.INV(0.975,C22+1,B22)))</f>
        <v/>
      </c>
    </row>
    <row r="24">
      <c r="A24" s="12" t="inlineStr">
        <is>
          <t>Dupla conferência — κ de Cohen por campo (Revisor A × Revisor B, nas 20 fichas da dupla)</t>
        </is>
      </c>
    </row>
    <row r="25">
      <c r="A25" s="13" t="inlineStr">
        <is>
          <t>campo</t>
        </is>
      </c>
      <c r="B25" s="13" t="inlineStr">
        <is>
          <t>n</t>
        </is>
      </c>
      <c r="C25" s="13" t="inlineStr">
        <is>
          <t>concordância bruta</t>
        </is>
      </c>
      <c r="D25" s="13" t="inlineStr">
        <is>
          <t>κ</t>
        </is>
      </c>
      <c r="E25" s="13" t="inlineStr">
        <is>
          <t>leitura</t>
        </is>
      </c>
    </row>
    <row r="26">
      <c r="A26" t="inlineStr">
        <is>
          <t>pena_min</t>
        </is>
      </c>
      <c r="B26" t="n">
        <v>20</v>
      </c>
      <c r="C26" s="14">
        <f>SUMPRODUCT(--('Apuração B'!$P$2:$P$21='Apuração B'!$C$2:$C$21))/20</f>
        <v/>
      </c>
      <c r="D26" s="15">
        <f>IF((COUNTIF('Apuração B'!$C$2:$C$21,"confere")*COUNTIF('Apuração B'!$P$2:$P$21,"confere")+COUNTIF('Apuração B'!$C$2:$C$21,"diverge")*COUNTIF('Apuração B'!$P$2:$P$21,"diverge")+COUNTIF('Apuração B'!$C$2:$C$21,"fonte insuficiente")*COUNTIF('Apuração B'!$P$2:$P$21,"fonte insuficiente")+COUNTIF('Apuração B'!$C$2:$C$21,"juízo discutível")*COUNTIF('Apuração B'!$P$2:$P$21,"juízo discutível"))/20^2&gt;=1,1,(SUMPRODUCT(--('Apuração B'!$P$2:$P$21='Apuração B'!$C$2:$C$21))/20-(COUNTIF('Apuração B'!$C$2:$C$21,"confere")*COUNTIF('Apuração B'!$P$2:$P$21,"confere")+COUNTIF('Apuração B'!$C$2:$C$21,"diverge")*COUNTIF('Apuração B'!$P$2:$P$21,"diverge")+COUNTIF('Apuração B'!$C$2:$C$21,"fonte insuficiente")*COUNTIF('Apuração B'!$P$2:$P$21,"fonte insuficiente")+COUNTIF('Apuração B'!$C$2:$C$21,"juízo discutível")*COUNTIF('Apuração B'!$P$2:$P$21,"juízo discutível"))/20^2)/(1-(COUNTIF('Apuração B'!$C$2:$C$21,"confere")*COUNTIF('Apuração B'!$P$2:$P$21,"confere")+COUNTIF('Apuração B'!$C$2:$C$21,"diverge")*COUNTIF('Apuração B'!$P$2:$P$21,"diverge")+COUNTIF('Apuração B'!$C$2:$C$21,"fonte insuficiente")*COUNTIF('Apuração B'!$P$2:$P$21,"fonte insuficiente")+COUNTIF('Apuração B'!$C$2:$C$21,"juízo discutível")*COUNTIF('Apuração B'!$P$2:$P$21,"juízo discutível"))/20^2))</f>
        <v/>
      </c>
      <c r="E26">
        <f>IF(D26&gt;=0.8,"critério reproduzível",IF(D26&gt;=0.6,"ler as discordâncias e escrever a regra","reconferir o campo nos 300"))</f>
        <v/>
      </c>
    </row>
    <row r="27">
      <c r="A27" t="inlineStr">
        <is>
          <t>pena_max</t>
        </is>
      </c>
      <c r="B27" t="n">
        <v>20</v>
      </c>
      <c r="C27" s="14">
        <f>SUMPRODUCT(--('Apuração B'!$Q$2:$Q$21='Apuração B'!$D$2:$D$21))/20</f>
        <v/>
      </c>
      <c r="D27" s="15">
        <f>IF((COUNTIF('Apuração B'!$D$2:$D$21,"confere")*COUNTIF('Apuração B'!$Q$2:$Q$21,"confere")+COUNTIF('Apuração B'!$D$2:$D$21,"diverge")*COUNTIF('Apuração B'!$Q$2:$Q$21,"diverge")+COUNTIF('Apuração B'!$D$2:$D$21,"fonte insuficiente")*COUNTIF('Apuração B'!$Q$2:$Q$21,"fonte insuficiente")+COUNTIF('Apuração B'!$D$2:$D$21,"juízo discutível")*COUNTIF('Apuração B'!$Q$2:$Q$21,"juízo discutível"))/20^2&gt;=1,1,(SUMPRODUCT(--('Apuração B'!$Q$2:$Q$21='Apuração B'!$D$2:$D$21))/20-(COUNTIF('Apuração B'!$D$2:$D$21,"confere")*COUNTIF('Apuração B'!$Q$2:$Q$21,"confere")+COUNTIF('Apuração B'!$D$2:$D$21,"diverge")*COUNTIF('Apuração B'!$Q$2:$Q$21,"diverge")+COUNTIF('Apuração B'!$D$2:$D$21,"fonte insuficiente")*COUNTIF('Apuração B'!$Q$2:$Q$21,"fonte insuficiente")+COUNTIF('Apuração B'!$D$2:$D$21,"juízo discutível")*COUNTIF('Apuração B'!$Q$2:$Q$21,"juízo discutível"))/20^2)/(1-(COUNTIF('Apuração B'!$D$2:$D$21,"confere")*COUNTIF('Apuração B'!$Q$2:$Q$21,"confere")+COUNTIF('Apuração B'!$D$2:$D$21,"diverge")*COUNTIF('Apuração B'!$Q$2:$Q$21,"diverge")+COUNTIF('Apuração B'!$D$2:$D$21,"fonte insuficiente")*COUNTIF('Apuração B'!$Q$2:$Q$21,"fonte insuficiente")+COUNTIF('Apuração B'!$D$2:$D$21,"juízo discutível")*COUNTIF('Apuração B'!$Q$2:$Q$21,"juízo discutível"))/20^2))</f>
        <v/>
      </c>
      <c r="E27">
        <f>IF(D27&gt;=0.8,"critério reproduzível",IF(D27&gt;=0.6,"ler as discordâncias e escrever a regra","reconferir o campo nos 300"))</f>
        <v/>
      </c>
    </row>
    <row r="28">
      <c r="A28" t="inlineStr">
        <is>
          <t>tipo_pena</t>
        </is>
      </c>
      <c r="B28" t="n">
        <v>20</v>
      </c>
      <c r="C28" s="14">
        <f>SUMPRODUCT(--('Apuração B'!$R$2:$R$21='Apuração B'!$E$2:$E$21))/20</f>
        <v/>
      </c>
      <c r="D28" s="15">
        <f>IF((COUNTIF('Apuração B'!$E$2:$E$21,"confere")*COUNTIF('Apuração B'!$R$2:$R$21,"confere")+COUNTIF('Apuração B'!$E$2:$E$21,"diverge")*COUNTIF('Apuração B'!$R$2:$R$21,"diverge")+COUNTIF('Apuração B'!$E$2:$E$21,"fonte insuficiente")*COUNTIF('Apuração B'!$R$2:$R$21,"fonte insuficiente")+COUNTIF('Apuração B'!$E$2:$E$21,"juízo discutível")*COUNTIF('Apuração B'!$R$2:$R$21,"juízo discutível"))/20^2&gt;=1,1,(SUMPRODUCT(--('Apuração B'!$R$2:$R$21='Apuração B'!$E$2:$E$21))/20-(COUNTIF('Apuração B'!$E$2:$E$21,"confere")*COUNTIF('Apuração B'!$R$2:$R$21,"confere")+COUNTIF('Apuração B'!$E$2:$E$21,"diverge")*COUNTIF('Apuração B'!$R$2:$R$21,"diverge")+COUNTIF('Apuração B'!$E$2:$E$21,"fonte insuficiente")*COUNTIF('Apuração B'!$R$2:$R$21,"fonte insuficiente")+COUNTIF('Apuração B'!$E$2:$E$21,"juízo discutível")*COUNTIF('Apuração B'!$R$2:$R$21,"juízo discutível"))/20^2)/(1-(COUNTIF('Apuração B'!$E$2:$E$21,"confere")*COUNTIF('Apuração B'!$R$2:$R$21,"confere")+COUNTIF('Apuração B'!$E$2:$E$21,"diverge")*COUNTIF('Apuração B'!$R$2:$R$21,"diverge")+COUNTIF('Apuração B'!$E$2:$E$21,"fonte insuficiente")*COUNTIF('Apuração B'!$R$2:$R$21,"fonte insuficiente")+COUNTIF('Apuração B'!$E$2:$E$21,"juízo discutível")*COUNTIF('Apuração B'!$R$2:$R$21,"juízo discutível"))/20^2))</f>
        <v/>
      </c>
      <c r="E28">
        <f>IF(D28&gt;=0.8,"critério reproduzível",IF(D28&gt;=0.6,"ler as discordâncias e escrever a regra","reconferir o campo nos 300"))</f>
        <v/>
      </c>
    </row>
    <row r="29">
      <c r="A29" t="inlineStr">
        <is>
          <t>hediondo</t>
        </is>
      </c>
      <c r="B29" t="n">
        <v>20</v>
      </c>
      <c r="C29" s="14">
        <f>SUMPRODUCT(--('Apuração B'!$S$2:$S$21='Apuração B'!$F$2:$F$21))/20</f>
        <v/>
      </c>
      <c r="D29" s="15">
        <f>IF((COUNTIF('Apuração B'!$F$2:$F$21,"confere")*COUNTIF('Apuração B'!$S$2:$S$21,"confere")+COUNTIF('Apuração B'!$F$2:$F$21,"diverge")*COUNTIF('Apuração B'!$S$2:$S$21,"diverge")+COUNTIF('Apuração B'!$F$2:$F$21,"fonte insuficiente")*COUNTIF('Apuração B'!$S$2:$S$21,"fonte insuficiente")+COUNTIF('Apuração B'!$F$2:$F$21,"juízo discutível")*COUNTIF('Apuração B'!$S$2:$S$21,"juízo discutível"))/20^2&gt;=1,1,(SUMPRODUCT(--('Apuração B'!$S$2:$S$21='Apuração B'!$F$2:$F$21))/20-(COUNTIF('Apuração B'!$F$2:$F$21,"confere")*COUNTIF('Apuração B'!$S$2:$S$21,"confere")+COUNTIF('Apuração B'!$F$2:$F$21,"diverge")*COUNTIF('Apuração B'!$S$2:$S$21,"diverge")+COUNTIF('Apuração B'!$F$2:$F$21,"fonte insuficiente")*COUNTIF('Apuração B'!$S$2:$S$21,"fonte insuficiente")+COUNTIF('Apuração B'!$F$2:$F$21,"juízo discutível")*COUNTIF('Apuração B'!$S$2:$S$21,"juízo discutível"))/20^2)/(1-(COUNTIF('Apuração B'!$F$2:$F$21,"confere")*COUNTIF('Apuração B'!$S$2:$S$21,"confere")+COUNTIF('Apuração B'!$F$2:$F$21,"diverge")*COUNTIF('Apuração B'!$S$2:$S$21,"diverge")+COUNTIF('Apuração B'!$F$2:$F$21,"fonte insuficiente")*COUNTIF('Apuração B'!$S$2:$S$21,"fonte insuficiente")+COUNTIF('Apuração B'!$F$2:$F$21,"juízo discutível")*COUNTIF('Apuração B'!$S$2:$S$21,"juízo discutível"))/20^2))</f>
        <v/>
      </c>
      <c r="E29">
        <f>IF(D29&gt;=0.8,"critério reproduzível",IF(D29&gt;=0.6,"ler as discordâncias e escrever a regra","reconferir o campo nos 300"))</f>
        <v/>
      </c>
    </row>
    <row r="30">
      <c r="A30" t="inlineStr">
        <is>
          <t>violencia</t>
        </is>
      </c>
      <c r="B30" t="n">
        <v>20</v>
      </c>
      <c r="C30" s="14">
        <f>SUMPRODUCT(--('Apuração B'!$T$2:$T$21='Apuração B'!$G$2:$G$21))/20</f>
        <v/>
      </c>
      <c r="D30" s="15">
        <f>IF((COUNTIF('Apuração B'!$G$2:$G$21,"confere")*COUNTIF('Apuração B'!$T$2:$T$21,"confere")+COUNTIF('Apuração B'!$G$2:$G$21,"diverge")*COUNTIF('Apuração B'!$T$2:$T$21,"diverge")+COUNTIF('Apuração B'!$G$2:$G$21,"fonte insuficiente")*COUNTIF('Apuração B'!$T$2:$T$21,"fonte insuficiente")+COUNTIF('Apuração B'!$G$2:$G$21,"juízo discutível")*COUNTIF('Apuração B'!$T$2:$T$21,"juízo discutível"))/20^2&gt;=1,1,(SUMPRODUCT(--('Apuração B'!$T$2:$T$21='Apuração B'!$G$2:$G$21))/20-(COUNTIF('Apuração B'!$G$2:$G$21,"confere")*COUNTIF('Apuração B'!$T$2:$T$21,"confere")+COUNTIF('Apuração B'!$G$2:$G$21,"diverge")*COUNTIF('Apuração B'!$T$2:$T$21,"diverge")+COUNTIF('Apuração B'!$G$2:$G$21,"fonte insuficiente")*COUNTIF('Apuração B'!$T$2:$T$21,"fonte insuficiente")+COUNTIF('Apuração B'!$G$2:$G$21,"juízo discutível")*COUNTIF('Apuração B'!$T$2:$T$21,"juízo discutível"))/20^2)/(1-(COUNTIF('Apuração B'!$G$2:$G$21,"confere")*COUNTIF('Apuração B'!$T$2:$T$21,"confere")+COUNTIF('Apuração B'!$G$2:$G$21,"diverge")*COUNTIF('Apuração B'!$T$2:$T$21,"diverge")+COUNTIF('Apuração B'!$G$2:$G$21,"fonte insuficiente")*COUNTIF('Apuração B'!$T$2:$T$21,"fonte insuficiente")+COUNTIF('Apuração B'!$G$2:$G$21,"juízo discutível")*COUNTIF('Apuração B'!$T$2:$T$21,"juízo discutível"))/20^2))</f>
        <v/>
      </c>
      <c r="E30">
        <f>IF(D30&gt;=0.8,"critério reproduzível",IF(D30&gt;=0.6,"ler as discordâncias e escrever a regra","reconferir o campo nos 300"))</f>
        <v/>
      </c>
    </row>
    <row r="31">
      <c r="A31" t="inlineStr">
        <is>
          <t>grave_ameaca</t>
        </is>
      </c>
      <c r="B31" t="n">
        <v>20</v>
      </c>
      <c r="C31" s="14">
        <f>SUMPRODUCT(--('Apuração B'!$U$2:$U$21='Apuração B'!$H$2:$H$21))/20</f>
        <v/>
      </c>
      <c r="D31" s="15">
        <f>IF((COUNTIF('Apuração B'!$H$2:$H$21,"confere")*COUNTIF('Apuração B'!$U$2:$U$21,"confere")+COUNTIF('Apuração B'!$H$2:$H$21,"diverge")*COUNTIF('Apuração B'!$U$2:$U$21,"diverge")+COUNTIF('Apuração B'!$H$2:$H$21,"fonte insuficiente")*COUNTIF('Apuração B'!$U$2:$U$21,"fonte insuficiente")+COUNTIF('Apuração B'!$H$2:$H$21,"juízo discutível")*COUNTIF('Apuração B'!$U$2:$U$21,"juízo discutível"))/20^2&gt;=1,1,(SUMPRODUCT(--('Apuração B'!$U$2:$U$21='Apuração B'!$H$2:$H$21))/20-(COUNTIF('Apuração B'!$H$2:$H$21,"confere")*COUNTIF('Apuração B'!$U$2:$U$21,"confere")+COUNTIF('Apuração B'!$H$2:$H$21,"diverge")*COUNTIF('Apuração B'!$U$2:$U$21,"diverge")+COUNTIF('Apuração B'!$H$2:$H$21,"fonte insuficiente")*COUNTIF('Apuração B'!$U$2:$U$21,"fonte insuficiente")+COUNTIF('Apuração B'!$H$2:$H$21,"juízo discutível")*COUNTIF('Apuração B'!$U$2:$U$21,"juízo discutível"))/20^2)/(1-(COUNTIF('Apuração B'!$H$2:$H$21,"confere")*COUNTIF('Apuração B'!$U$2:$U$21,"confere")+COUNTIF('Apuração B'!$H$2:$H$21,"diverge")*COUNTIF('Apuração B'!$U$2:$U$21,"diverge")+COUNTIF('Apuração B'!$H$2:$H$21,"fonte insuficiente")*COUNTIF('Apuração B'!$U$2:$U$21,"fonte insuficiente")+COUNTIF('Apuração B'!$H$2:$H$21,"juízo discutível")*COUNTIF('Apuração B'!$U$2:$U$21,"juízo discutível"))/20^2))</f>
        <v/>
      </c>
      <c r="E31">
        <f>IF(D31&gt;=0.8,"critério reproduzível",IF(D31&gt;=0.6,"ler as discordâncias e escrever a regra","reconferir o campo nos 300"))</f>
        <v/>
      </c>
    </row>
    <row r="32">
      <c r="A32" t="inlineStr">
        <is>
          <t>elemento</t>
        </is>
      </c>
      <c r="B32" t="n">
        <v>20</v>
      </c>
      <c r="C32" s="14">
        <f>SUMPRODUCT(--('Apuração B'!$V$2:$V$21='Apuração B'!$I$2:$I$21))/20</f>
        <v/>
      </c>
      <c r="D32" s="15">
        <f>IF((COUNTIF('Apuração B'!$I$2:$I$21,"confere")*COUNTIF('Apuração B'!$V$2:$V$21,"confere")+COUNTIF('Apuração B'!$I$2:$I$21,"diverge")*COUNTIF('Apuração B'!$V$2:$V$21,"diverge")+COUNTIF('Apuração B'!$I$2:$I$21,"fonte insuficiente")*COUNTIF('Apuração B'!$V$2:$V$21,"fonte insuficiente")+COUNTIF('Apuração B'!$I$2:$I$21,"juízo discutível")*COUNTIF('Apuração B'!$V$2:$V$21,"juízo discutível"))/20^2&gt;=1,1,(SUMPRODUCT(--('Apuração B'!$V$2:$V$21='Apuração B'!$I$2:$I$21))/20-(COUNTIF('Apuração B'!$I$2:$I$21,"confere")*COUNTIF('Apuração B'!$V$2:$V$21,"confere")+COUNTIF('Apuração B'!$I$2:$I$21,"diverge")*COUNTIF('Apuração B'!$V$2:$V$21,"diverge")+COUNTIF('Apuração B'!$I$2:$I$21,"fonte insuficiente")*COUNTIF('Apuração B'!$V$2:$V$21,"fonte insuficiente")+COUNTIF('Apuração B'!$I$2:$I$21,"juízo discutível")*COUNTIF('Apuração B'!$V$2:$V$21,"juízo discutível"))/20^2)/(1-(COUNTIF('Apuração B'!$I$2:$I$21,"confere")*COUNTIF('Apuração B'!$V$2:$V$21,"confere")+COUNTIF('Apuração B'!$I$2:$I$21,"diverge")*COUNTIF('Apuração B'!$V$2:$V$21,"diverge")+COUNTIF('Apuração B'!$I$2:$I$21,"fonte insuficiente")*COUNTIF('Apuração B'!$V$2:$V$21,"fonte insuficiente")+COUNTIF('Apuração B'!$I$2:$I$21,"juízo discutível")*COUNTIF('Apuração B'!$V$2:$V$21,"juízo discutível"))/20^2))</f>
        <v/>
      </c>
      <c r="E32">
        <f>IF(D32&gt;=0.8,"critério reproduzível",IF(D32&gt;=0.6,"ler as discordâncias e escrever a regra","reconferir o campo nos 300"))</f>
        <v/>
      </c>
    </row>
    <row r="33">
      <c r="A33" t="inlineStr">
        <is>
          <t>tentativa</t>
        </is>
      </c>
      <c r="B33" t="n">
        <v>20</v>
      </c>
      <c r="C33" s="14">
        <f>SUMPRODUCT(--('Apuração B'!$W$2:$W$21='Apuração B'!$J$2:$J$21))/20</f>
        <v/>
      </c>
      <c r="D33" s="15">
        <f>IF((COUNTIF('Apuração B'!$J$2:$J$21,"confere")*COUNTIF('Apuração B'!$W$2:$W$21,"confere")+COUNTIF('Apuração B'!$J$2:$J$21,"diverge")*COUNTIF('Apuração B'!$W$2:$W$21,"diverge")+COUNTIF('Apuração B'!$J$2:$J$21,"fonte insuficiente")*COUNTIF('Apuração B'!$W$2:$W$21,"fonte insuficiente")+COUNTIF('Apuração B'!$J$2:$J$21,"juízo discutível")*COUNTIF('Apuração B'!$W$2:$W$21,"juízo discutível"))/20^2&gt;=1,1,(SUMPRODUCT(--('Apuração B'!$W$2:$W$21='Apuração B'!$J$2:$J$21))/20-(COUNTIF('Apuração B'!$J$2:$J$21,"confere")*COUNTIF('Apuração B'!$W$2:$W$21,"confere")+COUNTIF('Apuração B'!$J$2:$J$21,"diverge")*COUNTIF('Apuração B'!$W$2:$W$21,"diverge")+COUNTIF('Apuração B'!$J$2:$J$21,"fonte insuficiente")*COUNTIF('Apuração B'!$W$2:$W$21,"fonte insuficiente")+COUNTIF('Apuração B'!$J$2:$J$21,"juízo discutível")*COUNTIF('Apuração B'!$W$2:$W$21,"juízo discutível"))/20^2)/(1-(COUNTIF('Apuração B'!$J$2:$J$21,"confere")*COUNTIF('Apuração B'!$W$2:$W$21,"confere")+COUNTIF('Apuração B'!$J$2:$J$21,"diverge")*COUNTIF('Apuração B'!$W$2:$W$21,"diverge")+COUNTIF('Apuração B'!$J$2:$J$21,"fonte insuficiente")*COUNTIF('Apuração B'!$W$2:$W$21,"fonte insuficiente")+COUNTIF('Apuração B'!$J$2:$J$21,"juízo discutível")*COUNTIF('Apuração B'!$W$2:$W$21,"juízo discutível"))/20^2))</f>
        <v/>
      </c>
      <c r="E33">
        <f>IF(D33&gt;=0.8,"critério reproduzível",IF(D33&gt;=0.6,"ler as discordâncias e escrever a regra","reconferir o campo nos 300"))</f>
        <v/>
      </c>
    </row>
    <row r="34">
      <c r="A34" t="inlineStr">
        <is>
          <t>acao</t>
        </is>
      </c>
      <c r="B34" t="n">
        <v>20</v>
      </c>
      <c r="C34" s="14">
        <f>SUMPRODUCT(--('Apuração B'!$X$2:$X$21='Apuração B'!$K$2:$K$21))/20</f>
        <v/>
      </c>
      <c r="D34" s="15">
        <f>IF((COUNTIF('Apuração B'!$K$2:$K$21,"confere")*COUNTIF('Apuração B'!$X$2:$X$21,"confere")+COUNTIF('Apuração B'!$K$2:$K$21,"diverge")*COUNTIF('Apuração B'!$X$2:$X$21,"diverge")+COUNTIF('Apuração B'!$K$2:$K$21,"fonte insuficiente")*COUNTIF('Apuração B'!$X$2:$X$21,"fonte insuficiente")+COUNTIF('Apuração B'!$K$2:$K$21,"juízo discutível")*COUNTIF('Apuração B'!$X$2:$X$21,"juízo discutível"))/20^2&gt;=1,1,(SUMPRODUCT(--('Apuração B'!$X$2:$X$21='Apuração B'!$K$2:$K$21))/20-(COUNTIF('Apuração B'!$K$2:$K$21,"confere")*COUNTIF('Apuração B'!$X$2:$X$21,"confere")+COUNTIF('Apuração B'!$K$2:$K$21,"diverge")*COUNTIF('Apuração B'!$X$2:$X$21,"diverge")+COUNTIF('Apuração B'!$K$2:$K$21,"fonte insuficiente")*COUNTIF('Apuração B'!$X$2:$X$21,"fonte insuficiente")+COUNTIF('Apuração B'!$K$2:$K$21,"juízo discutível")*COUNTIF('Apuração B'!$X$2:$X$21,"juízo discutível"))/20^2)/(1-(COUNTIF('Apuração B'!$K$2:$K$21,"confere")*COUNTIF('Apuração B'!$X$2:$X$21,"confere")+COUNTIF('Apuração B'!$K$2:$K$21,"diverge")*COUNTIF('Apuração B'!$X$2:$X$21,"diverge")+COUNTIF('Apuração B'!$K$2:$K$21,"fonte insuficiente")*COUNTIF('Apuração B'!$X$2:$X$21,"fonte insuficiente")+COUNTIF('Apuração B'!$K$2:$K$21,"juízo discutível")*COUNTIF('Apuração B'!$X$2:$X$21,"juízo discutível"))/20^2))</f>
        <v/>
      </c>
      <c r="E34">
        <f>IF(D34&gt;=0.8,"critério reproduzível",IF(D34&gt;=0.6,"ler as discordâncias e escrever a regra","reconferir o campo nos 300"))</f>
        <v/>
      </c>
    </row>
    <row r="36">
      <c r="A36" t="inlineStr">
        <is>
          <t>Campo de prevalência extrema (hediondez, ~9%) pode ter κ baixo com concordância alta: leia as duas medidas (AUDITORIA.md, seção 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pena_min</t>
        </is>
      </c>
      <c r="C1" s="4" t="inlineStr">
        <is>
          <t>pena_max</t>
        </is>
      </c>
      <c r="D1" s="4" t="inlineStr">
        <is>
          <t>tipo_pena</t>
        </is>
      </c>
      <c r="E1" s="4" t="inlineStr">
        <is>
          <t>hediondo</t>
        </is>
      </c>
      <c r="F1" s="4" t="inlineStr">
        <is>
          <t>violencia</t>
        </is>
      </c>
      <c r="G1" s="4" t="inlineStr">
        <is>
          <t>grave_ameaca</t>
        </is>
      </c>
      <c r="H1" s="4" t="inlineStr">
        <is>
          <t>elemento</t>
        </is>
      </c>
      <c r="I1" s="4" t="inlineStr">
        <is>
          <t>tentativa</t>
        </is>
      </c>
      <c r="J1" s="4" t="inlineStr">
        <is>
          <t>acao</t>
        </is>
      </c>
      <c r="K1" s="4" t="inlineStr">
        <is>
          <t>nome</t>
        </is>
      </c>
      <c r="L1" s="4" t="inlineStr">
        <is>
          <t>vigente</t>
        </is>
      </c>
      <c r="M1" s="4" t="inlineStr">
        <is>
          <t>estrato</t>
        </is>
      </c>
      <c r="N1" s="4" t="inlineStr">
        <is>
          <t>dupla</t>
        </is>
      </c>
    </row>
    <row r="2">
      <c r="A2" t="n">
        <v>165</v>
      </c>
      <c r="B2" t="n">
        <v>12</v>
      </c>
      <c r="C2" t="n">
        <v>36</v>
      </c>
      <c r="D2" t="inlineStr">
        <is>
          <t>Reclusão</t>
        </is>
      </c>
      <c r="E2" t="inlineStr">
        <is>
          <t>Não</t>
        </is>
      </c>
      <c r="F2" t="inlineStr">
        <is>
          <t>Não</t>
        </is>
      </c>
      <c r="G2" t="inlineStr">
        <is>
          <t>Não</t>
        </is>
      </c>
      <c r="H2" t="inlineStr">
        <is>
          <t>Doloso</t>
        </is>
      </c>
      <c r="I2" t="inlineStr">
        <is>
          <t>Sim</t>
        </is>
      </c>
      <c r="J2" t="inlineStr">
        <is>
          <t>Pública Incondicionada</t>
        </is>
      </c>
      <c r="K2" t="inlineStr">
        <is>
          <t>Destruição, subtração ou ocultação de cadáver</t>
        </is>
      </c>
      <c r="L2" t="inlineStr">
        <is>
          <t>Sim</t>
        </is>
      </c>
      <c r="M2" t="inlineStr">
        <is>
          <t>h1</t>
        </is>
      </c>
      <c r="N2" t="inlineStr">
        <is>
          <t>sim</t>
        </is>
      </c>
    </row>
    <row r="3">
      <c r="A3" t="n">
        <v>1335</v>
      </c>
      <c r="B3" t="n">
        <v>6</v>
      </c>
      <c r="C3" t="n">
        <v>24</v>
      </c>
      <c r="D3" t="inlineStr">
        <is>
          <t>Detenção</t>
        </is>
      </c>
      <c r="E3" t="inlineStr">
        <is>
          <t>Não</t>
        </is>
      </c>
      <c r="F3" t="inlineStr">
        <is>
          <t>Não</t>
        </is>
      </c>
      <c r="G3" t="inlineStr">
        <is>
          <t>Não</t>
        </is>
      </c>
      <c r="H3" t="inlineStr">
        <is>
          <t>Culposo</t>
        </is>
      </c>
      <c r="I3" t="inlineStr">
        <is>
          <t>Não</t>
        </is>
      </c>
      <c r="J3" t="inlineStr">
        <is>
          <t>Pública Incondicionada</t>
        </is>
      </c>
      <c r="K3" t="inlineStr">
        <is>
          <t>Inundação — modalidade culposa</t>
        </is>
      </c>
      <c r="L3" t="inlineStr">
        <is>
          <t>Sim</t>
        </is>
      </c>
      <c r="M3" t="inlineStr">
        <is>
          <t>h1</t>
        </is>
      </c>
      <c r="N3" t="inlineStr">
        <is>
          <t>sim</t>
        </is>
      </c>
    </row>
    <row r="4">
      <c r="A4" t="n">
        <v>172</v>
      </c>
      <c r="B4" t="n">
        <v>24</v>
      </c>
      <c r="C4" t="n">
        <v>72</v>
      </c>
      <c r="D4" t="inlineStr">
        <is>
          <t>Reclusão</t>
        </is>
      </c>
      <c r="E4" t="inlineStr">
        <is>
          <t>Não</t>
        </is>
      </c>
      <c r="F4" t="inlineStr">
        <is>
          <t>Não</t>
        </is>
      </c>
      <c r="G4" t="inlineStr">
        <is>
          <t>Não</t>
        </is>
      </c>
      <c r="H4" t="inlineStr">
        <is>
          <t>Doloso</t>
        </is>
      </c>
      <c r="I4" t="inlineStr">
        <is>
          <t>Sim</t>
        </is>
      </c>
      <c r="J4" t="inlineStr">
        <is>
          <t>Pública Incondicionada</t>
        </is>
      </c>
      <c r="K4" t="inlineStr">
        <is>
          <t>Bigamia</t>
        </is>
      </c>
      <c r="L4" t="inlineStr">
        <is>
          <t>Sim</t>
        </is>
      </c>
      <c r="M4" t="inlineStr">
        <is>
          <t>h1</t>
        </is>
      </c>
      <c r="N4" t="inlineStr">
        <is>
          <t>sim</t>
        </is>
      </c>
    </row>
    <row r="5">
      <c r="A5" t="n">
        <v>994</v>
      </c>
      <c r="B5" t="n">
        <v>6</v>
      </c>
      <c r="C5" t="n">
        <v>36</v>
      </c>
      <c r="D5" t="inlineStr">
        <is>
          <t>Detenção</t>
        </is>
      </c>
      <c r="E5" t="inlineStr">
        <is>
          <t>Não</t>
        </is>
      </c>
      <c r="F5" t="inlineStr">
        <is>
          <t>Não</t>
        </is>
      </c>
      <c r="G5" t="inlineStr">
        <is>
          <t>Não</t>
        </is>
      </c>
      <c r="H5" t="inlineStr">
        <is>
          <t>Doloso</t>
        </is>
      </c>
      <c r="I5" t="inlineStr">
        <is>
          <t>Sim</t>
        </is>
      </c>
      <c r="J5" t="inlineStr">
        <is>
          <t>Pública Incondicionada</t>
        </is>
      </c>
      <c r="K5" t="inlineStr">
        <is>
          <t>Alteração de marca ou sinal indicativo de propriedade de gado ou rebanho</t>
        </is>
      </c>
      <c r="L5" t="inlineStr">
        <is>
          <t>Sim</t>
        </is>
      </c>
      <c r="M5" t="inlineStr">
        <is>
          <t>h1</t>
        </is>
      </c>
      <c r="N5" t="inlineStr">
        <is>
          <t>sim</t>
        </is>
      </c>
    </row>
    <row r="6">
      <c r="A6" t="n">
        <v>70</v>
      </c>
      <c r="B6" t="n">
        <v>24</v>
      </c>
      <c r="C6" t="n">
        <v>60</v>
      </c>
      <c r="D6" t="inlineStr">
        <is>
          <t>Reclusão</t>
        </is>
      </c>
      <c r="E6" t="inlineStr">
        <is>
          <t>Não</t>
        </is>
      </c>
      <c r="F6" t="inlineStr">
        <is>
          <t>Não</t>
        </is>
      </c>
      <c r="G6" t="inlineStr">
        <is>
          <t>Não</t>
        </is>
      </c>
      <c r="H6" t="inlineStr">
        <is>
          <t>Doloso</t>
        </is>
      </c>
      <c r="I6" t="inlineStr">
        <is>
          <t>Sim</t>
        </is>
      </c>
      <c r="J6" t="inlineStr">
        <is>
          <t>Pública Incondicionada</t>
        </is>
      </c>
      <c r="K6" t="inlineStr">
        <is>
          <t>Sequestro qualificado (fins libidinosos, menor de 18, maus-tratos, mais de 15 dias)</t>
        </is>
      </c>
      <c r="L6" t="inlineStr">
        <is>
          <t>Sim</t>
        </is>
      </c>
      <c r="M6" t="inlineStr">
        <is>
          <t>h1</t>
        </is>
      </c>
      <c r="N6" t="inlineStr">
        <is>
          <t>sim</t>
        </is>
      </c>
    </row>
    <row r="7">
      <c r="A7" t="n">
        <v>66</v>
      </c>
      <c r="B7" t="n">
        <v>1</v>
      </c>
      <c r="C7" t="n">
        <v>6</v>
      </c>
      <c r="D7" t="inlineStr">
        <is>
          <t>Detenção</t>
        </is>
      </c>
      <c r="E7" t="inlineStr">
        <is>
          <t>Não</t>
        </is>
      </c>
      <c r="F7" t="inlineStr">
        <is>
          <t>Não</t>
        </is>
      </c>
      <c r="G7" t="inlineStr">
        <is>
          <t>Sim</t>
        </is>
      </c>
      <c r="H7" t="inlineStr">
        <is>
          <t>Doloso</t>
        </is>
      </c>
      <c r="I7" t="inlineStr">
        <is>
          <t>Sim</t>
        </is>
      </c>
      <c r="J7" t="inlineStr">
        <is>
          <t>Pública Condicionada à Representação</t>
        </is>
      </c>
      <c r="K7" t="inlineStr">
        <is>
          <t>Ameaça</t>
        </is>
      </c>
      <c r="L7" t="inlineStr">
        <is>
          <t>Sim</t>
        </is>
      </c>
      <c r="M7" t="inlineStr">
        <is>
          <t>h1</t>
        </is>
      </c>
      <c r="N7" t="inlineStr">
        <is>
          <t>sim</t>
        </is>
      </c>
    </row>
    <row r="8">
      <c r="A8" t="n">
        <v>280</v>
      </c>
      <c r="B8" t="n">
        <v>24</v>
      </c>
      <c r="C8" t="n">
        <v>48</v>
      </c>
      <c r="D8" t="inlineStr">
        <is>
          <t>Reclusão</t>
        </is>
      </c>
      <c r="E8" t="inlineStr">
        <is>
          <t>Não</t>
        </is>
      </c>
      <c r="F8" t="inlineStr">
        <is>
          <t>Não</t>
        </is>
      </c>
      <c r="G8" t="inlineStr">
        <is>
          <t>Não</t>
        </is>
      </c>
      <c r="H8" t="inlineStr">
        <is>
          <t>Doloso</t>
        </is>
      </c>
      <c r="I8" t="inlineStr">
        <is>
          <t>Sim</t>
        </is>
      </c>
      <c r="J8" t="inlineStr">
        <is>
          <t>Pública Incondicionada</t>
        </is>
      </c>
      <c r="K8" t="inlineStr">
        <is>
          <t>Falso testemunho ou falsa perícia</t>
        </is>
      </c>
      <c r="L8" t="inlineStr">
        <is>
          <t>Sim</t>
        </is>
      </c>
      <c r="M8" t="inlineStr">
        <is>
          <t>h1</t>
        </is>
      </c>
      <c r="N8" t="inlineStr"/>
    </row>
    <row r="9">
      <c r="A9" t="n">
        <v>231</v>
      </c>
      <c r="B9" t="n">
        <v>24</v>
      </c>
      <c r="C9" t="n">
        <v>72</v>
      </c>
      <c r="D9" t="inlineStr">
        <is>
          <t>Reclusão</t>
        </is>
      </c>
      <c r="E9" t="inlineStr">
        <is>
          <t>Não</t>
        </is>
      </c>
      <c r="F9" t="inlineStr">
        <is>
          <t>Não</t>
        </is>
      </c>
      <c r="G9" t="inlineStr">
        <is>
          <t>Não</t>
        </is>
      </c>
      <c r="H9" t="inlineStr">
        <is>
          <t>Doloso</t>
        </is>
      </c>
      <c r="I9" t="inlineStr">
        <is>
          <t>Sim</t>
        </is>
      </c>
      <c r="J9" t="inlineStr">
        <is>
          <t>Pública Incondicionada</t>
        </is>
      </c>
      <c r="K9" t="inlineStr">
        <is>
          <t>Falsificação de documento público</t>
        </is>
      </c>
      <c r="L9" t="inlineStr">
        <is>
          <t>Sim</t>
        </is>
      </c>
      <c r="M9" t="inlineStr">
        <is>
          <t>h1</t>
        </is>
      </c>
      <c r="N9" t="inlineStr"/>
    </row>
    <row r="10">
      <c r="A10" t="n">
        <v>1379</v>
      </c>
      <c r="B10" t="n">
        <v>0.5</v>
      </c>
      <c r="C10" t="n">
        <v>3</v>
      </c>
      <c r="D10" t="inlineStr">
        <is>
          <t>Detenção</t>
        </is>
      </c>
      <c r="E10" t="inlineStr">
        <is>
          <t>Não</t>
        </is>
      </c>
      <c r="F10" t="inlineStr">
        <is>
          <t>Não</t>
        </is>
      </c>
      <c r="G10" t="inlineStr">
        <is>
          <t>Não</t>
        </is>
      </c>
      <c r="H10" t="inlineStr">
        <is>
          <t>Doloso</t>
        </is>
      </c>
      <c r="I10" t="inlineStr">
        <is>
          <t>Sim</t>
        </is>
      </c>
      <c r="J10" t="inlineStr">
        <is>
          <t>Pública Incondicionada</t>
        </is>
      </c>
      <c r="K10" t="inlineStr">
        <is>
          <t>Favorecimento pessoal — Se ao crime não é cominada pena de reclusão</t>
        </is>
      </c>
      <c r="L10" t="inlineStr">
        <is>
          <t>Sim</t>
        </is>
      </c>
      <c r="M10" t="inlineStr">
        <is>
          <t>h1</t>
        </is>
      </c>
      <c r="N10" t="inlineStr"/>
    </row>
    <row r="11">
      <c r="A11" t="n">
        <v>153</v>
      </c>
      <c r="B11" t="n">
        <v>1</v>
      </c>
      <c r="C11" t="n">
        <v>12</v>
      </c>
      <c r="D11" t="inlineStr">
        <is>
          <t>Detenção</t>
        </is>
      </c>
      <c r="E11" t="inlineStr">
        <is>
          <t>Não</t>
        </is>
      </c>
      <c r="F11" t="inlineStr">
        <is>
          <t>Sim</t>
        </is>
      </c>
      <c r="G11" t="inlineStr">
        <is>
          <t>Sim</t>
        </is>
      </c>
      <c r="H11" t="inlineStr">
        <is>
          <t>Doloso</t>
        </is>
      </c>
      <c r="I11" t="inlineStr">
        <is>
          <t>Sim</t>
        </is>
      </c>
      <c r="J11" t="inlineStr">
        <is>
          <t>Pública Incondicionada</t>
        </is>
      </c>
      <c r="K11" t="inlineStr">
        <is>
          <t>Atentado contra a liberdade de associação</t>
        </is>
      </c>
      <c r="L11" t="inlineStr">
        <is>
          <t>Sim</t>
        </is>
      </c>
      <c r="M11" t="inlineStr">
        <is>
          <t>h1</t>
        </is>
      </c>
      <c r="N11" t="inlineStr"/>
    </row>
    <row r="12">
      <c r="A12" t="n">
        <v>275</v>
      </c>
      <c r="B12" t="n">
        <v>12</v>
      </c>
      <c r="C12" t="n">
        <v>96</v>
      </c>
      <c r="D12" t="inlineStr">
        <is>
          <t>Reclusão</t>
        </is>
      </c>
      <c r="E12" t="inlineStr">
        <is>
          <t>Não</t>
        </is>
      </c>
      <c r="F12" t="inlineStr">
        <is>
          <t>Não</t>
        </is>
      </c>
      <c r="G12" t="inlineStr">
        <is>
          <t>Não</t>
        </is>
      </c>
      <c r="H12" t="inlineStr">
        <is>
          <t>Doloso</t>
        </is>
      </c>
      <c r="I12" t="inlineStr">
        <is>
          <t>Sim</t>
        </is>
      </c>
      <c r="J12" t="inlineStr">
        <is>
          <t>Pública Incondicionada</t>
        </is>
      </c>
      <c r="K12" t="inlineStr">
        <is>
          <t>Corrupção ativa em transação comercial internacional</t>
        </is>
      </c>
      <c r="L12" t="inlineStr">
        <is>
          <t>Sim</t>
        </is>
      </c>
      <c r="M12" t="inlineStr">
        <is>
          <t>h1</t>
        </is>
      </c>
      <c r="N12" t="inlineStr"/>
    </row>
    <row r="13">
      <c r="A13" t="n">
        <v>1375</v>
      </c>
      <c r="B13" t="n">
        <v>12</v>
      </c>
      <c r="C13" t="n">
        <v>36</v>
      </c>
      <c r="D13" t="inlineStr">
        <is>
          <t>Reclusão</t>
        </is>
      </c>
      <c r="E13" t="inlineStr">
        <is>
          <t>Não</t>
        </is>
      </c>
      <c r="F13" t="inlineStr">
        <is>
          <t>Não</t>
        </is>
      </c>
      <c r="G13" t="inlineStr">
        <is>
          <t>Não</t>
        </is>
      </c>
      <c r="H13" t="inlineStr">
        <is>
          <t>Doloso</t>
        </is>
      </c>
      <c r="I13" t="inlineStr">
        <is>
          <t>Sim</t>
        </is>
      </c>
      <c r="J13" t="inlineStr">
        <is>
          <t>Pública Incondicionada</t>
        </is>
      </c>
      <c r="K13" t="inlineStr">
        <is>
          <t>Contratação inidônea</t>
        </is>
      </c>
      <c r="L13" t="inlineStr">
        <is>
          <t>Sim</t>
        </is>
      </c>
      <c r="M13" t="inlineStr">
        <is>
          <t>h1</t>
        </is>
      </c>
      <c r="N13" t="inlineStr"/>
    </row>
    <row r="14">
      <c r="A14" t="n">
        <v>186</v>
      </c>
      <c r="B14" t="n">
        <v>6</v>
      </c>
      <c r="C14" t="n">
        <v>24</v>
      </c>
      <c r="D14" t="inlineStr">
        <is>
          <t>Detenção</t>
        </is>
      </c>
      <c r="E14" t="inlineStr">
        <is>
          <t>Não</t>
        </is>
      </c>
      <c r="F14" t="inlineStr">
        <is>
          <t>Não</t>
        </is>
      </c>
      <c r="G14" t="inlineStr">
        <is>
          <t>Não</t>
        </is>
      </c>
      <c r="H14" t="inlineStr">
        <is>
          <t>Culposo</t>
        </is>
      </c>
      <c r="I14" t="inlineStr">
        <is>
          <t>Não</t>
        </is>
      </c>
      <c r="J14" t="inlineStr">
        <is>
          <t>Pública Incondicionada</t>
        </is>
      </c>
      <c r="K14" t="inlineStr">
        <is>
          <t>Incêndio culposo</t>
        </is>
      </c>
      <c r="L14" t="inlineStr">
        <is>
          <t>Sim</t>
        </is>
      </c>
      <c r="M14" t="inlineStr">
        <is>
          <t>h1</t>
        </is>
      </c>
      <c r="N14" t="inlineStr"/>
    </row>
    <row r="15">
      <c r="A15" t="n">
        <v>49</v>
      </c>
      <c r="B15" t="n">
        <v>96</v>
      </c>
      <c r="C15" t="n">
        <v>168</v>
      </c>
      <c r="D15" t="inlineStr">
        <is>
          <t>Reclusão</t>
        </is>
      </c>
      <c r="E15" t="inlineStr">
        <is>
          <t>Não</t>
        </is>
      </c>
      <c r="F15" t="inlineStr">
        <is>
          <t>Não</t>
        </is>
      </c>
      <c r="G15" t="inlineStr">
        <is>
          <t>Não</t>
        </is>
      </c>
      <c r="H15" t="inlineStr">
        <is>
          <t>Preterdoloso</t>
        </is>
      </c>
      <c r="I15" t="inlineStr">
        <is>
          <t>Não</t>
        </is>
      </c>
      <c r="J15" t="inlineStr">
        <is>
          <t>Pública Incondicionada</t>
        </is>
      </c>
      <c r="K15" t="inlineStr">
        <is>
          <t>Abandono de incapaz com resultado morte</t>
        </is>
      </c>
      <c r="L15" t="inlineStr">
        <is>
          <t>Sim</t>
        </is>
      </c>
      <c r="M15" t="inlineStr">
        <is>
          <t>h1</t>
        </is>
      </c>
      <c r="N15" t="inlineStr"/>
    </row>
    <row r="16">
      <c r="A16" t="n">
        <v>213</v>
      </c>
      <c r="B16" t="n">
        <v>12</v>
      </c>
      <c r="C16" t="n">
        <v>36</v>
      </c>
      <c r="D16" t="inlineStr">
        <is>
          <t>Detenção</t>
        </is>
      </c>
      <c r="E16" t="inlineStr">
        <is>
          <t>Não</t>
        </is>
      </c>
      <c r="F16" t="inlineStr">
        <is>
          <t>Não</t>
        </is>
      </c>
      <c r="G16" t="inlineStr">
        <is>
          <t>Não</t>
        </is>
      </c>
      <c r="H16" t="inlineStr">
        <is>
          <t>Doloso</t>
        </is>
      </c>
      <c r="I16" t="inlineStr">
        <is>
          <t>Sim</t>
        </is>
      </c>
      <c r="J16" t="inlineStr">
        <is>
          <t>Pública Incondicionada</t>
        </is>
      </c>
      <c r="K16" t="inlineStr">
        <is>
          <t>Outras substâncias nocivas à saúde pública</t>
        </is>
      </c>
      <c r="L16" t="inlineStr">
        <is>
          <t>Sim</t>
        </is>
      </c>
      <c r="M16" t="inlineStr">
        <is>
          <t>h1</t>
        </is>
      </c>
      <c r="N16" t="inlineStr"/>
    </row>
    <row r="17">
      <c r="A17" t="n">
        <v>151</v>
      </c>
      <c r="B17" t="n">
        <v>1</v>
      </c>
      <c r="C17" t="n">
        <v>12</v>
      </c>
      <c r="D17" t="inlineStr">
        <is>
          <t>Detenção</t>
        </is>
      </c>
      <c r="E17" t="inlineStr">
        <is>
          <t>Não</t>
        </is>
      </c>
      <c r="F17" t="inlineStr">
        <is>
          <t>Sim</t>
        </is>
      </c>
      <c r="G17" t="inlineStr">
        <is>
          <t>Sim</t>
        </is>
      </c>
      <c r="H17" t="inlineStr">
        <is>
          <t>Doloso</t>
        </is>
      </c>
      <c r="I17" t="inlineStr">
        <is>
          <t>Sim</t>
        </is>
      </c>
      <c r="J17" t="inlineStr">
        <is>
          <t>Pública Incondicionada</t>
        </is>
      </c>
      <c r="K17" t="inlineStr">
        <is>
          <t>Atentado contra a liberdade de trabalho — profissão ou trabalho</t>
        </is>
      </c>
      <c r="L17" t="inlineStr">
        <is>
          <t>Sim</t>
        </is>
      </c>
      <c r="M17" t="inlineStr">
        <is>
          <t>h1</t>
        </is>
      </c>
      <c r="N17" t="inlineStr"/>
    </row>
    <row r="18">
      <c r="A18" t="n">
        <v>1338</v>
      </c>
      <c r="B18" t="n">
        <v>12</v>
      </c>
      <c r="C18" t="n">
        <v>36</v>
      </c>
      <c r="D18" t="inlineStr">
        <is>
          <t>Detenção</t>
        </is>
      </c>
      <c r="E18" t="inlineStr">
        <is>
          <t>Não</t>
        </is>
      </c>
      <c r="F18" t="inlineStr">
        <is>
          <t>Não</t>
        </is>
      </c>
      <c r="G18" t="inlineStr">
        <is>
          <t>Não</t>
        </is>
      </c>
      <c r="H18" t="inlineStr">
        <is>
          <t>Preterdoloso</t>
        </is>
      </c>
      <c r="I18" t="inlineStr">
        <is>
          <t>Não</t>
        </is>
      </c>
      <c r="J18" t="inlineStr">
        <is>
          <t>Pública Incondicionada</t>
        </is>
      </c>
      <c r="K18" t="inlineStr">
        <is>
          <t>Exposição ou abandono de recém-nascido — lesão grave</t>
        </is>
      </c>
      <c r="L18" t="inlineStr">
        <is>
          <t>Sim</t>
        </is>
      </c>
      <c r="M18" t="inlineStr">
        <is>
          <t>h1</t>
        </is>
      </c>
      <c r="N18" t="inlineStr"/>
    </row>
    <row r="19">
      <c r="A19" t="n">
        <v>294</v>
      </c>
      <c r="B19" t="n">
        <v>6</v>
      </c>
      <c r="C19" t="n">
        <v>36</v>
      </c>
      <c r="D19" t="inlineStr">
        <is>
          <t>Detenção</t>
        </is>
      </c>
      <c r="E19" t="inlineStr">
        <is>
          <t>Não</t>
        </is>
      </c>
      <c r="F19" t="inlineStr">
        <is>
          <t>Não</t>
        </is>
      </c>
      <c r="G19" t="inlineStr">
        <is>
          <t>Não</t>
        </is>
      </c>
      <c r="H19" t="inlineStr">
        <is>
          <t>Doloso</t>
        </is>
      </c>
      <c r="I19" t="inlineStr">
        <is>
          <t>Sim</t>
        </is>
      </c>
      <c r="J19" t="inlineStr">
        <is>
          <t>Pública Incondicionada</t>
        </is>
      </c>
      <c r="K19" t="inlineStr">
        <is>
          <t>Sonegação de papel ou objeto de valor probatório por advogado ou procurador</t>
        </is>
      </c>
      <c r="L19" t="inlineStr">
        <is>
          <t>Sim</t>
        </is>
      </c>
      <c r="M19" t="inlineStr">
        <is>
          <t>h1</t>
        </is>
      </c>
      <c r="N19" t="inlineStr"/>
    </row>
    <row r="20">
      <c r="A20" t="n">
        <v>1353</v>
      </c>
      <c r="B20" t="n">
        <v>6</v>
      </c>
      <c r="C20" t="n">
        <v>24</v>
      </c>
      <c r="D20" t="inlineStr">
        <is>
          <t>Detenção</t>
        </is>
      </c>
      <c r="E20" t="inlineStr">
        <is>
          <t>Não</t>
        </is>
      </c>
      <c r="F20" t="inlineStr">
        <is>
          <t>Não</t>
        </is>
      </c>
      <c r="G20" t="inlineStr">
        <is>
          <t>Não</t>
        </is>
      </c>
      <c r="H20" t="inlineStr">
        <is>
          <t>Culposo</t>
        </is>
      </c>
      <c r="I20" t="inlineStr">
        <is>
          <t>Não</t>
        </is>
      </c>
      <c r="J20" t="inlineStr">
        <is>
          <t>Pública Incondicionada</t>
        </is>
      </c>
      <c r="K20" t="inlineStr">
        <is>
          <t>Atentado contra transporte ferroviário — modalidade culposa com desastre</t>
        </is>
      </c>
      <c r="L20" t="inlineStr">
        <is>
          <t>Sim</t>
        </is>
      </c>
      <c r="M20" t="inlineStr">
        <is>
          <t>h1</t>
        </is>
      </c>
      <c r="N20" t="inlineStr"/>
    </row>
    <row r="21">
      <c r="A21" t="n">
        <v>211</v>
      </c>
      <c r="B21" t="n">
        <v>12</v>
      </c>
      <c r="C21" t="n">
        <v>60</v>
      </c>
      <c r="D21" t="inlineStr">
        <is>
          <t>Reclusão</t>
        </is>
      </c>
      <c r="E21" t="inlineStr">
        <is>
          <t>Não</t>
        </is>
      </c>
      <c r="F21" t="inlineStr">
        <is>
          <t>Não</t>
        </is>
      </c>
      <c r="G21" t="inlineStr">
        <is>
          <t>Não</t>
        </is>
      </c>
      <c r="H21" t="inlineStr">
        <is>
          <t>Doloso</t>
        </is>
      </c>
      <c r="I21" t="inlineStr">
        <is>
          <t>Sim</t>
        </is>
      </c>
      <c r="J21" t="inlineStr">
        <is>
          <t>Pública Incondicionada</t>
        </is>
      </c>
      <c r="K21" t="inlineStr">
        <is>
          <t>Venda, exposição à venda ou entrega a consumo de produto em condições impróprias</t>
        </is>
      </c>
      <c r="L21" t="inlineStr">
        <is>
          <t>Sim</t>
        </is>
      </c>
      <c r="M21" t="inlineStr">
        <is>
          <t>h1</t>
        </is>
      </c>
      <c r="N21" t="inlineStr"/>
    </row>
    <row r="22">
      <c r="A22" t="n">
        <v>210</v>
      </c>
      <c r="B22" t="n">
        <v>12</v>
      </c>
      <c r="C22" t="n">
        <v>60</v>
      </c>
      <c r="D22" t="inlineStr">
        <is>
          <t>Reclusão</t>
        </is>
      </c>
      <c r="E22" t="inlineStr">
        <is>
          <t>Não</t>
        </is>
      </c>
      <c r="F22" t="inlineStr">
        <is>
          <t>Não</t>
        </is>
      </c>
      <c r="G22" t="inlineStr">
        <is>
          <t>Não</t>
        </is>
      </c>
      <c r="H22" t="inlineStr">
        <is>
          <t>Doloso</t>
        </is>
      </c>
      <c r="I22" t="inlineStr">
        <is>
          <t>Sim</t>
        </is>
      </c>
      <c r="J22" t="inlineStr">
        <is>
          <t>Pública Incondicionada</t>
        </is>
      </c>
      <c r="K22" t="inlineStr">
        <is>
          <t>Invólucro ou recipiente com falsa indicação de substância medicinal ou terapêutica</t>
        </is>
      </c>
      <c r="L22" t="inlineStr">
        <is>
          <t>Sim</t>
        </is>
      </c>
      <c r="M22" t="inlineStr">
        <is>
          <t>h1</t>
        </is>
      </c>
      <c r="N22" t="inlineStr"/>
    </row>
    <row r="23">
      <c r="A23" t="n">
        <v>641</v>
      </c>
      <c r="B23" t="n">
        <v>1</v>
      </c>
      <c r="C23" t="n">
        <v>6</v>
      </c>
      <c r="D23" t="inlineStr">
        <is>
          <t>Detenção</t>
        </is>
      </c>
      <c r="E23" t="inlineStr">
        <is>
          <t>Não</t>
        </is>
      </c>
      <c r="F23" t="inlineStr">
        <is>
          <t>Não</t>
        </is>
      </c>
      <c r="G23" t="inlineStr">
        <is>
          <t>Não</t>
        </is>
      </c>
      <c r="H23" t="inlineStr">
        <is>
          <t>Doloso</t>
        </is>
      </c>
      <c r="I23" t="inlineStr">
        <is>
          <t>Sim</t>
        </is>
      </c>
      <c r="J23" t="inlineStr">
        <is>
          <t>Pública Incondicionada</t>
        </is>
      </c>
      <c r="K23" t="inlineStr">
        <is>
          <t>Instalar ou utilizar estação ou aparelho radioelétrico sem autorização legal</t>
        </is>
      </c>
      <c r="L23" t="inlineStr">
        <is>
          <t>Não</t>
        </is>
      </c>
      <c r="M23" t="inlineStr">
        <is>
          <t>h2</t>
        </is>
      </c>
      <c r="N23" t="inlineStr"/>
    </row>
    <row r="24">
      <c r="A24" t="n">
        <v>14</v>
      </c>
      <c r="B24" t="n">
        <v>96</v>
      </c>
      <c r="C24" t="n">
        <v>360</v>
      </c>
      <c r="D24" t="inlineStr">
        <is>
          <t>Reclusão</t>
        </is>
      </c>
      <c r="E24" t="inlineStr">
        <is>
          <t>Não</t>
        </is>
      </c>
      <c r="F24" t="inlineStr">
        <is>
          <t>Sim</t>
        </is>
      </c>
      <c r="G24" t="inlineStr">
        <is>
          <t>Não</t>
        </is>
      </c>
      <c r="H24" t="inlineStr">
        <is>
          <t>Doloso</t>
        </is>
      </c>
      <c r="I24" t="inlineStr">
        <is>
          <t>Sim</t>
        </is>
      </c>
      <c r="J24" t="inlineStr">
        <is>
          <t>Pública Incondicionada</t>
        </is>
      </c>
      <c r="K24" t="inlineStr">
        <is>
          <t>Homicídio com aumento de 1/3 até a metade (milícia privada, sob pretexto de segurança, ou grupo de extermínio)</t>
        </is>
      </c>
      <c r="L24" t="inlineStr">
        <is>
          <t>Sim</t>
        </is>
      </c>
      <c r="M24" t="inlineStr">
        <is>
          <t>h2</t>
        </is>
      </c>
      <c r="N24" t="inlineStr"/>
    </row>
    <row r="25">
      <c r="A25" t="n">
        <v>1318</v>
      </c>
      <c r="B25" t="n">
        <v>12</v>
      </c>
      <c r="C25" t="n">
        <v>36</v>
      </c>
      <c r="D25" t="inlineStr">
        <is>
          <t>Reclusão</t>
        </is>
      </c>
      <c r="E25" t="inlineStr">
        <is>
          <t>Não</t>
        </is>
      </c>
      <c r="F25" t="inlineStr">
        <is>
          <t>Não</t>
        </is>
      </c>
      <c r="G25" t="inlineStr">
        <is>
          <t>Não</t>
        </is>
      </c>
      <c r="H25" t="inlineStr">
        <is>
          <t>Doloso</t>
        </is>
      </c>
      <c r="I25" t="inlineStr">
        <is>
          <t>Sim</t>
        </is>
      </c>
      <c r="J25" t="inlineStr">
        <is>
          <t>Pública Incondicionada</t>
        </is>
      </c>
      <c r="K25" t="inlineStr">
        <is>
          <t>Solicitação ou contratação de crime a integrante de associação criminosa</t>
        </is>
      </c>
      <c r="L25" t="inlineStr">
        <is>
          <t>Sim</t>
        </is>
      </c>
      <c r="M25" t="inlineStr">
        <is>
          <t>h2</t>
        </is>
      </c>
      <c r="N25" t="inlineStr"/>
    </row>
    <row r="26">
      <c r="A26" t="n">
        <v>1499</v>
      </c>
      <c r="B26" t="n">
        <v>64</v>
      </c>
      <c r="C26" t="n">
        <v>240</v>
      </c>
      <c r="D26" t="inlineStr">
        <is>
          <t>Reclusão</t>
        </is>
      </c>
      <c r="E26" t="inlineStr">
        <is>
          <t>Não</t>
        </is>
      </c>
      <c r="F26" t="inlineStr">
        <is>
          <t>Sim</t>
        </is>
      </c>
      <c r="G26" t="inlineStr">
        <is>
          <t>Não</t>
        </is>
      </c>
      <c r="H26" t="inlineStr">
        <is>
          <t>Preterdoloso</t>
        </is>
      </c>
      <c r="I26" t="inlineStr">
        <is>
          <t>Não</t>
        </is>
      </c>
      <c r="J26" t="inlineStr">
        <is>
          <t>Pública Incondicionada</t>
        </is>
      </c>
      <c r="K26" t="inlineStr">
        <is>
          <t>Lesão dolosa contra autoridade, agente público ou em instituição de ensino — lesão corporal seguida de morte</t>
        </is>
      </c>
      <c r="L26" t="inlineStr">
        <is>
          <t>Sim</t>
        </is>
      </c>
      <c r="M26" t="inlineStr">
        <is>
          <t>h2</t>
        </is>
      </c>
      <c r="N26" t="inlineStr"/>
    </row>
    <row r="27">
      <c r="A27" t="n">
        <v>612</v>
      </c>
      <c r="B27" t="n">
        <v>84</v>
      </c>
      <c r="C27" t="n">
        <v>192</v>
      </c>
      <c r="D27" t="inlineStr">
        <is>
          <t>Reclusão</t>
        </is>
      </c>
      <c r="E27" t="inlineStr">
        <is>
          <t>Sim</t>
        </is>
      </c>
      <c r="F27" t="inlineStr">
        <is>
          <t>Não</t>
        </is>
      </c>
      <c r="G27" t="inlineStr">
        <is>
          <t>Não</t>
        </is>
      </c>
      <c r="H27" t="inlineStr">
        <is>
          <t>Doloso</t>
        </is>
      </c>
      <c r="I27" t="inlineStr">
        <is>
          <t>Sim</t>
        </is>
      </c>
      <c r="J27" t="inlineStr">
        <is>
          <t>Pública Incondicionada</t>
        </is>
      </c>
      <c r="K27" t="inlineStr">
        <is>
          <t>Favorecimento da prostituição de vulnerável — quem pratica conjunção carnal ou ato libidinoso com menor de 18 em situação de exploração</t>
        </is>
      </c>
      <c r="L27" t="inlineStr">
        <is>
          <t>Sim</t>
        </is>
      </c>
      <c r="M27" t="inlineStr">
        <is>
          <t>h2</t>
        </is>
      </c>
      <c r="N27" t="inlineStr"/>
    </row>
    <row r="28">
      <c r="A28" t="n">
        <v>25</v>
      </c>
      <c r="B28" t="n">
        <v>12</v>
      </c>
      <c r="C28" t="n">
        <v>48</v>
      </c>
      <c r="D28" t="inlineStr">
        <is>
          <t>Reclusão</t>
        </is>
      </c>
      <c r="E28" t="inlineStr">
        <is>
          <t>Não</t>
        </is>
      </c>
      <c r="F28" t="inlineStr">
        <is>
          <t>Não</t>
        </is>
      </c>
      <c r="G28" t="inlineStr">
        <is>
          <t>Não</t>
        </is>
      </c>
      <c r="H28" t="inlineStr">
        <is>
          <t>Doloso</t>
        </is>
      </c>
      <c r="I28" t="inlineStr">
        <is>
          <t>Sim</t>
        </is>
      </c>
      <c r="J28" t="inlineStr">
        <is>
          <t>Pública Incondicionada</t>
        </is>
      </c>
      <c r="K28" t="inlineStr">
        <is>
          <t>Induzimento a suicídio como líder/coordenador de grupo (aumento até o dobro)</t>
        </is>
      </c>
      <c r="L28" t="inlineStr">
        <is>
          <t>Sim</t>
        </is>
      </c>
      <c r="M28" t="inlineStr">
        <is>
          <t>h2</t>
        </is>
      </c>
      <c r="N28" t="inlineStr"/>
    </row>
    <row r="29">
      <c r="A29" t="n">
        <v>1490</v>
      </c>
      <c r="B29" t="n">
        <v>288</v>
      </c>
      <c r="C29" t="n">
        <v>360</v>
      </c>
      <c r="D29" t="inlineStr">
        <is>
          <t>Reclusão</t>
        </is>
      </c>
      <c r="E29" t="inlineStr">
        <is>
          <t>Sim</t>
        </is>
      </c>
      <c r="F29" t="inlineStr">
        <is>
          <t>Sim</t>
        </is>
      </c>
      <c r="G29" t="inlineStr">
        <is>
          <t>Sim</t>
        </is>
      </c>
      <c r="H29" t="inlineStr">
        <is>
          <t>Qualificado pelo resultado</t>
        </is>
      </c>
      <c r="I29" t="inlineStr">
        <is>
          <t>Sim</t>
        </is>
      </c>
      <c r="J29" t="inlineStr">
        <is>
          <t>Pública Incondicionada</t>
        </is>
      </c>
      <c r="K29" t="inlineStr">
        <is>
          <t>Extorsão qualificada pelo resultado morte</t>
        </is>
      </c>
      <c r="L29" t="inlineStr">
        <is>
          <t>Sim</t>
        </is>
      </c>
      <c r="M29" t="inlineStr">
        <is>
          <t>h2</t>
        </is>
      </c>
      <c r="N29" t="inlineStr"/>
    </row>
    <row r="30">
      <c r="A30" t="n">
        <v>734</v>
      </c>
      <c r="B30" t="n">
        <v>6</v>
      </c>
      <c r="C30" t="n">
        <v>24</v>
      </c>
      <c r="D30" t="inlineStr">
        <is>
          <t>Detenção</t>
        </is>
      </c>
      <c r="E30" t="inlineStr">
        <is>
          <t>Não</t>
        </is>
      </c>
      <c r="F30" t="inlineStr">
        <is>
          <t>Não</t>
        </is>
      </c>
      <c r="G30" t="inlineStr">
        <is>
          <t>Não</t>
        </is>
      </c>
      <c r="H30" t="inlineStr">
        <is>
          <t>Doloso</t>
        </is>
      </c>
      <c r="I30" t="inlineStr">
        <is>
          <t>Sim</t>
        </is>
      </c>
      <c r="J30" t="inlineStr">
        <is>
          <t>Pública Incondicionada</t>
        </is>
      </c>
      <c r="K30" t="inlineStr">
        <is>
          <t>Constrangimento ilegal com aumento — concurso de mais de 3 pessoas ou com emprego de armas</t>
        </is>
      </c>
      <c r="L30" t="inlineStr">
        <is>
          <t>Sim</t>
        </is>
      </c>
      <c r="M30" t="inlineStr">
        <is>
          <t>h2</t>
        </is>
      </c>
      <c r="N30" t="inlineStr"/>
    </row>
    <row r="31">
      <c r="A31" t="n">
        <v>77</v>
      </c>
      <c r="B31" t="n">
        <v>1</v>
      </c>
      <c r="C31" t="n">
        <v>6</v>
      </c>
      <c r="D31" t="inlineStr">
        <is>
          <t>Detenção</t>
        </is>
      </c>
      <c r="E31" t="inlineStr">
        <is>
          <t>Não</t>
        </is>
      </c>
      <c r="F31" t="inlineStr">
        <is>
          <t>Não</t>
        </is>
      </c>
      <c r="G31" t="inlineStr">
        <is>
          <t>Não</t>
        </is>
      </c>
      <c r="H31" t="inlineStr">
        <is>
          <t>Doloso</t>
        </is>
      </c>
      <c r="I31" t="inlineStr">
        <is>
          <t>Sim</t>
        </is>
      </c>
      <c r="J31" t="inlineStr">
        <is>
          <t>Pública Condicionada à Representação</t>
        </is>
      </c>
      <c r="K31" t="inlineStr">
        <is>
          <t>Sonegação ou destruição de correspondência</t>
        </is>
      </c>
      <c r="L31" t="inlineStr">
        <is>
          <t>Não</t>
        </is>
      </c>
      <c r="M31" t="inlineStr">
        <is>
          <t>h2</t>
        </is>
      </c>
      <c r="N31" t="inlineStr"/>
    </row>
    <row r="32">
      <c r="A32" t="n">
        <v>592</v>
      </c>
      <c r="B32" t="n">
        <v>12</v>
      </c>
      <c r="C32" t="n">
        <v>60</v>
      </c>
      <c r="D32" t="inlineStr">
        <is>
          <t>Reclusão</t>
        </is>
      </c>
      <c r="E32" t="inlineStr">
        <is>
          <t>Não</t>
        </is>
      </c>
      <c r="F32" t="inlineStr">
        <is>
          <t>Não</t>
        </is>
      </c>
      <c r="G32" t="inlineStr">
        <is>
          <t>Não</t>
        </is>
      </c>
      <c r="H32" t="inlineStr">
        <is>
          <t>Doloso</t>
        </is>
      </c>
      <c r="I32" t="inlineStr">
        <is>
          <t>Sim</t>
        </is>
      </c>
      <c r="J32" t="inlineStr">
        <is>
          <t>Pública Incondicionada</t>
        </is>
      </c>
      <c r="K32" t="inlineStr">
        <is>
          <t>Estelionato — fraude na entrega de coisa</t>
        </is>
      </c>
      <c r="L32" t="inlineStr">
        <is>
          <t>Sim</t>
        </is>
      </c>
      <c r="M32" t="inlineStr">
        <is>
          <t>h2</t>
        </is>
      </c>
      <c r="N32" t="inlineStr"/>
    </row>
    <row r="33">
      <c r="A33" t="n">
        <v>729</v>
      </c>
      <c r="B33" t="n">
        <v>14</v>
      </c>
      <c r="C33" t="n">
        <v>70</v>
      </c>
      <c r="D33" t="inlineStr">
        <is>
          <t>Reclusão</t>
        </is>
      </c>
      <c r="E33" t="inlineStr">
        <is>
          <t>Não</t>
        </is>
      </c>
      <c r="F33" t="inlineStr">
        <is>
          <t>Não</t>
        </is>
      </c>
      <c r="G33" t="inlineStr">
        <is>
          <t>Não</t>
        </is>
      </c>
      <c r="H33" t="inlineStr">
        <is>
          <t>Doloso</t>
        </is>
      </c>
      <c r="I33" t="inlineStr">
        <is>
          <t>Sim</t>
        </is>
      </c>
      <c r="J33" t="inlineStr">
        <is>
          <t>Pública Incondicionada</t>
        </is>
      </c>
      <c r="K33" t="inlineStr">
        <is>
          <t>Falsidade ideológica — agente funcionário público prevalecendo-se do cargo, ou falsificação de registro civil</t>
        </is>
      </c>
      <c r="L33" t="inlineStr">
        <is>
          <t>Sim</t>
        </is>
      </c>
      <c r="M33" t="inlineStr">
        <is>
          <t>h2</t>
        </is>
      </c>
      <c r="N33" t="inlineStr"/>
    </row>
    <row r="34">
      <c r="A34" t="n">
        <v>820</v>
      </c>
      <c r="B34" t="n">
        <v>12</v>
      </c>
      <c r="C34" t="n">
        <v>60</v>
      </c>
      <c r="D34" t="inlineStr">
        <is>
          <t>Reclusão</t>
        </is>
      </c>
      <c r="E34" t="inlineStr">
        <is>
          <t>Não</t>
        </is>
      </c>
      <c r="F34" t="inlineStr">
        <is>
          <t>Não</t>
        </is>
      </c>
      <c r="G34" t="inlineStr">
        <is>
          <t>Não</t>
        </is>
      </c>
      <c r="H34" t="inlineStr">
        <is>
          <t>Doloso</t>
        </is>
      </c>
      <c r="I34" t="inlineStr">
        <is>
          <t>Sim</t>
        </is>
      </c>
      <c r="J34" t="inlineStr">
        <is>
          <t>Pública Incondicionada</t>
        </is>
      </c>
      <c r="K34" t="inlineStr">
        <is>
          <t>Estelionato — cessão de conta bancária a atividade criminosa</t>
        </is>
      </c>
      <c r="L34" t="inlineStr">
        <is>
          <t>Sim</t>
        </is>
      </c>
      <c r="M34" t="inlineStr">
        <is>
          <t>h2</t>
        </is>
      </c>
      <c r="N34" t="inlineStr"/>
    </row>
    <row r="35">
      <c r="A35" t="n">
        <v>12</v>
      </c>
      <c r="B35" t="n">
        <v>16</v>
      </c>
      <c r="C35" t="n">
        <v>48</v>
      </c>
      <c r="D35" t="inlineStr">
        <is>
          <t>Detenção</t>
        </is>
      </c>
      <c r="E35" t="inlineStr">
        <is>
          <t>Não</t>
        </is>
      </c>
      <c r="F35" t="inlineStr">
        <is>
          <t>Não</t>
        </is>
      </c>
      <c r="G35" t="inlineStr">
        <is>
          <t>Não</t>
        </is>
      </c>
      <c r="H35" t="inlineStr">
        <is>
          <t>Culposo</t>
        </is>
      </c>
      <c r="I35" t="inlineStr">
        <is>
          <t>Não</t>
        </is>
      </c>
      <c r="J35" t="inlineStr">
        <is>
          <t>Pública Incondicionada</t>
        </is>
      </c>
      <c r="K35" t="inlineStr">
        <is>
          <t>Homicídio culposo com aumento de 1/3 (inobservância de regra técnica)</t>
        </is>
      </c>
      <c r="L35" t="inlineStr">
        <is>
          <t>Sim</t>
        </is>
      </c>
      <c r="M35" t="inlineStr">
        <is>
          <t>h2</t>
        </is>
      </c>
      <c r="N35" t="inlineStr"/>
    </row>
    <row r="36">
      <c r="A36" t="n">
        <v>706</v>
      </c>
      <c r="B36" t="n">
        <v>6</v>
      </c>
      <c r="C36" t="n">
        <v>24</v>
      </c>
      <c r="D36" t="inlineStr">
        <is>
          <t>Detenção</t>
        </is>
      </c>
      <c r="E36" t="inlineStr">
        <is>
          <t>Não</t>
        </is>
      </c>
      <c r="F36" t="inlineStr">
        <is>
          <t>Não</t>
        </is>
      </c>
      <c r="G36" t="inlineStr">
        <is>
          <t>Não</t>
        </is>
      </c>
      <c r="H36" t="inlineStr">
        <is>
          <t>Doloso</t>
        </is>
      </c>
      <c r="I36" t="inlineStr">
        <is>
          <t>Sim</t>
        </is>
      </c>
      <c r="J36" t="inlineStr">
        <is>
          <t>Pública Incondicionada</t>
        </is>
      </c>
      <c r="K36" t="inlineStr">
        <is>
          <t>Receita ilegal</t>
        </is>
      </c>
      <c r="L36" t="inlineStr">
        <is>
          <t>Sim</t>
        </is>
      </c>
      <c r="M36" t="inlineStr">
        <is>
          <t>h3</t>
        </is>
      </c>
      <c r="N36" t="inlineStr">
        <is>
          <t>sim</t>
        </is>
      </c>
    </row>
    <row r="37">
      <c r="A37" t="n">
        <v>1196</v>
      </c>
      <c r="B37" t="n">
        <v>6</v>
      </c>
      <c r="C37" t="n">
        <v>24</v>
      </c>
      <c r="D37" t="inlineStr">
        <is>
          <t>Detenção</t>
        </is>
      </c>
      <c r="E37" t="inlineStr">
        <is>
          <t>Não</t>
        </is>
      </c>
      <c r="F37" t="inlineStr">
        <is>
          <t>Não</t>
        </is>
      </c>
      <c r="G37" t="inlineStr">
        <is>
          <t>Não</t>
        </is>
      </c>
      <c r="H37" t="inlineStr">
        <is>
          <t>Doloso</t>
        </is>
      </c>
      <c r="I37" t="inlineStr">
        <is>
          <t>Sim</t>
        </is>
      </c>
      <c r="J37" t="inlineStr">
        <is>
          <t>Pública Incondicionada</t>
        </is>
      </c>
      <c r="K37" t="inlineStr">
        <is>
          <t>Violação de sigilo funcional</t>
        </is>
      </c>
      <c r="L37" t="inlineStr">
        <is>
          <t>Sim</t>
        </is>
      </c>
      <c r="M37" t="inlineStr">
        <is>
          <t>h3</t>
        </is>
      </c>
      <c r="N37" t="inlineStr">
        <is>
          <t>sim</t>
        </is>
      </c>
    </row>
    <row r="38">
      <c r="A38" t="n">
        <v>1108</v>
      </c>
      <c r="B38" t="n">
        <v>6</v>
      </c>
      <c r="C38" t="n">
        <v>12</v>
      </c>
      <c r="D38" t="inlineStr">
        <is>
          <t>Detenção</t>
        </is>
      </c>
      <c r="E38" t="inlineStr">
        <is>
          <t>Não</t>
        </is>
      </c>
      <c r="F38" t="inlineStr">
        <is>
          <t>Não</t>
        </is>
      </c>
      <c r="G38" t="inlineStr">
        <is>
          <t>Não</t>
        </is>
      </c>
      <c r="H38" t="inlineStr">
        <is>
          <t>Doloso</t>
        </is>
      </c>
      <c r="I38" t="inlineStr">
        <is>
          <t>Sim</t>
        </is>
      </c>
      <c r="J38" t="inlineStr">
        <is>
          <t>Pública Incondicionada</t>
        </is>
      </c>
      <c r="K38" t="inlineStr">
        <is>
          <t>Ato de libidinagem</t>
        </is>
      </c>
      <c r="L38" t="inlineStr">
        <is>
          <t>Sim</t>
        </is>
      </c>
      <c r="M38" t="inlineStr">
        <is>
          <t>h3</t>
        </is>
      </c>
      <c r="N38" t="inlineStr">
        <is>
          <t>sim</t>
        </is>
      </c>
    </row>
    <row r="39">
      <c r="A39" t="n">
        <v>1050</v>
      </c>
      <c r="B39" t="n">
        <v>1</v>
      </c>
      <c r="C39" t="n">
        <v>6</v>
      </c>
      <c r="D39" t="inlineStr">
        <is>
          <t>Detenção</t>
        </is>
      </c>
      <c r="E39" t="inlineStr">
        <is>
          <t>Não</t>
        </is>
      </c>
      <c r="F39" t="inlineStr">
        <is>
          <t>Não</t>
        </is>
      </c>
      <c r="G39" t="inlineStr">
        <is>
          <t>Não</t>
        </is>
      </c>
      <c r="H39" t="inlineStr">
        <is>
          <t>Doloso</t>
        </is>
      </c>
      <c r="I39" t="inlineStr">
        <is>
          <t>Sim</t>
        </is>
      </c>
      <c r="J39" t="inlineStr">
        <is>
          <t>Pública Incondicionada</t>
        </is>
      </c>
      <c r="K39" t="inlineStr">
        <is>
          <t>Uso indevido de uniforme, distintivo ou insígnia militar por qualquer pessoa</t>
        </is>
      </c>
      <c r="L39" t="inlineStr">
        <is>
          <t>Sim</t>
        </is>
      </c>
      <c r="M39" t="inlineStr">
        <is>
          <t>h3</t>
        </is>
      </c>
      <c r="N39" t="inlineStr">
        <is>
          <t>sim</t>
        </is>
      </c>
    </row>
    <row r="40">
      <c r="A40" t="n">
        <v>1383</v>
      </c>
      <c r="B40" t="n">
        <v>12</v>
      </c>
      <c r="C40" t="n">
        <v>36</v>
      </c>
      <c r="D40" t="inlineStr">
        <is>
          <t>Reclusão</t>
        </is>
      </c>
      <c r="E40" t="inlineStr">
        <is>
          <t>Não</t>
        </is>
      </c>
      <c r="F40" t="inlineStr">
        <is>
          <t>Não</t>
        </is>
      </c>
      <c r="G40" t="inlineStr">
        <is>
          <t>Não</t>
        </is>
      </c>
      <c r="H40" t="inlineStr">
        <is>
          <t>Doloso</t>
        </is>
      </c>
      <c r="I40" t="inlineStr">
        <is>
          <t>Sim</t>
        </is>
      </c>
      <c r="J40" t="inlineStr">
        <is>
          <t>Pública Incondicionada</t>
        </is>
      </c>
      <c r="K40" t="inlineStr">
        <is>
          <t>Amotinamento (cabeça)</t>
        </is>
      </c>
      <c r="L40" t="inlineStr">
        <is>
          <t>Sim</t>
        </is>
      </c>
      <c r="M40" t="inlineStr">
        <is>
          <t>h3</t>
        </is>
      </c>
      <c r="N40" t="inlineStr"/>
    </row>
    <row r="41">
      <c r="A41" t="n">
        <v>1026</v>
      </c>
      <c r="B41" t="n">
        <v>120</v>
      </c>
      <c r="C41" t="n">
        <v>240</v>
      </c>
      <c r="D41" t="inlineStr">
        <is>
          <t>Reclusão</t>
        </is>
      </c>
      <c r="E41" t="inlineStr">
        <is>
          <t>Não</t>
        </is>
      </c>
      <c r="F41" t="inlineStr">
        <is>
          <t>Não</t>
        </is>
      </c>
      <c r="G41" t="inlineStr">
        <is>
          <t>Não</t>
        </is>
      </c>
      <c r="H41" t="inlineStr">
        <is>
          <t>Doloso</t>
        </is>
      </c>
      <c r="I41" t="inlineStr">
        <is>
          <t>Sim</t>
        </is>
      </c>
      <c r="J41" t="inlineStr">
        <is>
          <t>Pública Incondicionada</t>
        </is>
      </c>
      <c r="K41" t="inlineStr">
        <is>
          <t>Turbação de objeto ou documento — comprometimento da segurança ou eficiência bélica</t>
        </is>
      </c>
      <c r="L41" t="inlineStr">
        <is>
          <t>Sim</t>
        </is>
      </c>
      <c r="M41" t="inlineStr">
        <is>
          <t>h3</t>
        </is>
      </c>
      <c r="N41" t="inlineStr"/>
    </row>
    <row r="42">
      <c r="A42" t="n">
        <v>1084</v>
      </c>
      <c r="B42" t="n">
        <v>2</v>
      </c>
      <c r="C42" t="n">
        <v>12</v>
      </c>
      <c r="D42" t="inlineStr">
        <is>
          <t>Detenção</t>
        </is>
      </c>
      <c r="E42" t="inlineStr">
        <is>
          <t>Não</t>
        </is>
      </c>
      <c r="F42" t="inlineStr">
        <is>
          <t>Não</t>
        </is>
      </c>
      <c r="G42" t="inlineStr">
        <is>
          <t>Não</t>
        </is>
      </c>
      <c r="H42" t="inlineStr">
        <is>
          <t>Culposo</t>
        </is>
      </c>
      <c r="I42" t="inlineStr">
        <is>
          <t>Não</t>
        </is>
      </c>
      <c r="J42" t="inlineStr">
        <is>
          <t>Pública Incondicionada</t>
        </is>
      </c>
      <c r="K42" t="inlineStr">
        <is>
          <t>Lesão culposa</t>
        </is>
      </c>
      <c r="L42" t="inlineStr">
        <is>
          <t>Sim</t>
        </is>
      </c>
      <c r="M42" t="inlineStr">
        <is>
          <t>h3</t>
        </is>
      </c>
      <c r="N42" t="inlineStr"/>
    </row>
    <row r="43">
      <c r="A43" t="n">
        <v>1033</v>
      </c>
      <c r="B43" t="n">
        <v>36</v>
      </c>
      <c r="C43" t="n">
        <v>60</v>
      </c>
      <c r="D43" t="inlineStr">
        <is>
          <t>Reclusão</t>
        </is>
      </c>
      <c r="E43" t="inlineStr">
        <is>
          <t>Não</t>
        </is>
      </c>
      <c r="F43" t="inlineStr">
        <is>
          <t>Não</t>
        </is>
      </c>
      <c r="G43" t="inlineStr">
        <is>
          <t>Não</t>
        </is>
      </c>
      <c r="H43" t="inlineStr">
        <is>
          <t>Doloso</t>
        </is>
      </c>
      <c r="I43" t="inlineStr">
        <is>
          <t>Sim</t>
        </is>
      </c>
      <c r="J43" t="inlineStr">
        <is>
          <t>Pública Incondicionada</t>
        </is>
      </c>
      <c r="K43" t="inlineStr">
        <is>
          <t>Omissão de lealdade militar</t>
        </is>
      </c>
      <c r="L43" t="inlineStr">
        <is>
          <t>Sim</t>
        </is>
      </c>
      <c r="M43" t="inlineStr">
        <is>
          <t>h3</t>
        </is>
      </c>
      <c r="N43" t="inlineStr"/>
    </row>
    <row r="44">
      <c r="A44" t="n">
        <v>1182</v>
      </c>
      <c r="B44" t="n">
        <v>24</v>
      </c>
      <c r="C44" t="n">
        <v>48</v>
      </c>
      <c r="D44" t="inlineStr">
        <is>
          <t>Reclusão</t>
        </is>
      </c>
      <c r="E44" t="inlineStr">
        <is>
          <t>Não</t>
        </is>
      </c>
      <c r="F44" t="inlineStr">
        <is>
          <t>Não</t>
        </is>
      </c>
      <c r="G44" t="inlineStr">
        <is>
          <t>Não</t>
        </is>
      </c>
      <c r="H44" t="inlineStr">
        <is>
          <t>Doloso</t>
        </is>
      </c>
      <c r="I44" t="inlineStr">
        <is>
          <t>Sim</t>
        </is>
      </c>
      <c r="J44" t="inlineStr">
        <is>
          <t>Pública Incondicionada</t>
        </is>
      </c>
      <c r="K44" t="inlineStr">
        <is>
          <t>Participação ilícita</t>
        </is>
      </c>
      <c r="L44" t="inlineStr">
        <is>
          <t>Sim</t>
        </is>
      </c>
      <c r="M44" t="inlineStr">
        <is>
          <t>h3</t>
        </is>
      </c>
      <c r="N44" t="inlineStr"/>
    </row>
    <row r="45">
      <c r="A45" t="n">
        <v>1273</v>
      </c>
      <c r="B45" t="n">
        <v>12</v>
      </c>
      <c r="C45" t="n">
        <v>72</v>
      </c>
      <c r="D45" t="inlineStr">
        <is>
          <t>Detenção</t>
        </is>
      </c>
      <c r="E45" t="inlineStr">
        <is>
          <t>Não</t>
        </is>
      </c>
      <c r="F45" t="inlineStr">
        <is>
          <t>Não</t>
        </is>
      </c>
      <c r="G45" t="inlineStr">
        <is>
          <t>Não</t>
        </is>
      </c>
      <c r="H45" t="inlineStr">
        <is>
          <t>Doloso</t>
        </is>
      </c>
      <c r="I45" t="inlineStr">
        <is>
          <t>Sim</t>
        </is>
      </c>
      <c r="J45" t="inlineStr">
        <is>
          <t>Pública Incondicionada</t>
        </is>
      </c>
      <c r="K45" t="inlineStr">
        <is>
          <t>Falta de apresentação</t>
        </is>
      </c>
      <c r="L45" t="inlineStr">
        <is>
          <t>Sim</t>
        </is>
      </c>
      <c r="M45" t="inlineStr">
        <is>
          <t>h3</t>
        </is>
      </c>
      <c r="N45" t="inlineStr"/>
    </row>
    <row r="46">
      <c r="A46" t="n">
        <v>702</v>
      </c>
      <c r="B46" t="n">
        <v>12</v>
      </c>
      <c r="C46" t="n">
        <v>72</v>
      </c>
      <c r="D46" t="inlineStr">
        <is>
          <t>Reclusão</t>
        </is>
      </c>
      <c r="E46" t="inlineStr">
        <is>
          <t>Não</t>
        </is>
      </c>
      <c r="F46" t="inlineStr">
        <is>
          <t>Não</t>
        </is>
      </c>
      <c r="G46" t="inlineStr">
        <is>
          <t>Não</t>
        </is>
      </c>
      <c r="H46" t="inlineStr">
        <is>
          <t>Doloso</t>
        </is>
      </c>
      <c r="I46" t="inlineStr">
        <is>
          <t>Sim</t>
        </is>
      </c>
      <c r="J46" t="inlineStr">
        <is>
          <t>Pública Incondicionada</t>
        </is>
      </c>
      <c r="K46" t="inlineStr">
        <is>
          <t>Apropriação indébita simples</t>
        </is>
      </c>
      <c r="L46" t="inlineStr">
        <is>
          <t>Sim</t>
        </is>
      </c>
      <c r="M46" t="inlineStr">
        <is>
          <t>h3</t>
        </is>
      </c>
      <c r="N46" t="inlineStr"/>
    </row>
    <row r="47">
      <c r="A47" t="n">
        <v>1121</v>
      </c>
      <c r="B47" t="n">
        <v>12</v>
      </c>
      <c r="C47" t="n">
        <v>60</v>
      </c>
      <c r="D47" t="inlineStr">
        <is>
          <t>Reclusão</t>
        </is>
      </c>
      <c r="E47" t="inlineStr">
        <is>
          <t>Não</t>
        </is>
      </c>
      <c r="F47" t="inlineStr">
        <is>
          <t>Não</t>
        </is>
      </c>
      <c r="G47" t="inlineStr">
        <is>
          <t>Não</t>
        </is>
      </c>
      <c r="H47" t="inlineStr">
        <is>
          <t>Doloso</t>
        </is>
      </c>
      <c r="I47" t="inlineStr">
        <is>
          <t>Sim</t>
        </is>
      </c>
      <c r="J47" t="inlineStr">
        <is>
          <t>Pública Incondicionada</t>
        </is>
      </c>
      <c r="K47" t="inlineStr">
        <is>
          <t>Receptação</t>
        </is>
      </c>
      <c r="L47" t="inlineStr">
        <is>
          <t>Sim</t>
        </is>
      </c>
      <c r="M47" t="inlineStr">
        <is>
          <t>h3</t>
        </is>
      </c>
      <c r="N47" t="inlineStr"/>
    </row>
    <row r="48">
      <c r="A48" t="n">
        <v>710</v>
      </c>
      <c r="B48" t="n">
        <v>12</v>
      </c>
      <c r="C48" t="n">
        <v>96</v>
      </c>
      <c r="D48" t="inlineStr">
        <is>
          <t>Reclusão</t>
        </is>
      </c>
      <c r="E48" t="inlineStr">
        <is>
          <t>Não</t>
        </is>
      </c>
      <c r="F48" t="inlineStr">
        <is>
          <t>Não</t>
        </is>
      </c>
      <c r="G48" t="inlineStr">
        <is>
          <t>Não</t>
        </is>
      </c>
      <c r="H48" t="inlineStr">
        <is>
          <t>Doloso</t>
        </is>
      </c>
      <c r="I48" t="inlineStr">
        <is>
          <t>Sim</t>
        </is>
      </c>
      <c r="J48" t="inlineStr">
        <is>
          <t>Pública Incondicionada</t>
        </is>
      </c>
      <c r="K48" t="inlineStr">
        <is>
          <t>Corrupção ativa</t>
        </is>
      </c>
      <c r="L48" t="inlineStr">
        <is>
          <t>Sim</t>
        </is>
      </c>
      <c r="M48" t="inlineStr">
        <is>
          <t>h3</t>
        </is>
      </c>
      <c r="N48" t="inlineStr"/>
    </row>
    <row r="49">
      <c r="A49" t="n">
        <v>707</v>
      </c>
      <c r="B49" t="n">
        <v>12</v>
      </c>
      <c r="C49" t="n">
        <v>48</v>
      </c>
      <c r="D49" t="inlineStr">
        <is>
          <t>Reclusão</t>
        </is>
      </c>
      <c r="E49" t="inlineStr">
        <is>
          <t>Não</t>
        </is>
      </c>
      <c r="F49" t="inlineStr">
        <is>
          <t>Não</t>
        </is>
      </c>
      <c r="G49" t="inlineStr">
        <is>
          <t>Não</t>
        </is>
      </c>
      <c r="H49" t="inlineStr">
        <is>
          <t>Doloso</t>
        </is>
      </c>
      <c r="I49" t="inlineStr">
        <is>
          <t>Sim</t>
        </is>
      </c>
      <c r="J49" t="inlineStr">
        <is>
          <t>Pública Incondicionada</t>
        </is>
      </c>
      <c r="K49" t="inlineStr">
        <is>
          <t>Desacato a superior</t>
        </is>
      </c>
      <c r="L49" t="inlineStr">
        <is>
          <t>Sim</t>
        </is>
      </c>
      <c r="M49" t="inlineStr">
        <is>
          <t>h3</t>
        </is>
      </c>
      <c r="N49" t="inlineStr"/>
    </row>
    <row r="50">
      <c r="A50" t="n">
        <v>1269</v>
      </c>
      <c r="B50" t="n">
        <v>180</v>
      </c>
      <c r="C50" t="n">
        <v>360</v>
      </c>
      <c r="D50" t="inlineStr">
        <is>
          <t>Morte</t>
        </is>
      </c>
      <c r="E50" t="inlineStr">
        <is>
          <t>Não</t>
        </is>
      </c>
      <c r="F50" t="inlineStr">
        <is>
          <t>Sim</t>
        </is>
      </c>
      <c r="G50" t="inlineStr">
        <is>
          <t>Não</t>
        </is>
      </c>
      <c r="H50" t="inlineStr">
        <is>
          <t>Doloso</t>
        </is>
      </c>
      <c r="I50" t="inlineStr">
        <is>
          <t>Sim</t>
        </is>
      </c>
      <c r="J50" t="inlineStr">
        <is>
          <t>Pública Incondicionada</t>
        </is>
      </c>
      <c r="K50" t="inlineStr">
        <is>
          <t>Violência contra superior ou militar de serviço — com arma, em presença do inimigo</t>
        </is>
      </c>
      <c r="L50" t="inlineStr">
        <is>
          <t>Sim</t>
        </is>
      </c>
      <c r="M50" t="inlineStr">
        <is>
          <t>h3</t>
        </is>
      </c>
      <c r="N50" t="inlineStr"/>
    </row>
    <row r="51">
      <c r="A51" t="n">
        <v>1070</v>
      </c>
      <c r="B51" t="n">
        <v>24</v>
      </c>
      <c r="C51" t="n">
        <v>48</v>
      </c>
      <c r="D51" t="inlineStr">
        <is>
          <t>Reclusão</t>
        </is>
      </c>
      <c r="E51" t="inlineStr">
        <is>
          <t>Não</t>
        </is>
      </c>
      <c r="F51" t="inlineStr">
        <is>
          <t>Não</t>
        </is>
      </c>
      <c r="G51" t="inlineStr">
        <is>
          <t>Não</t>
        </is>
      </c>
      <c r="H51" t="inlineStr">
        <is>
          <t>Doloso</t>
        </is>
      </c>
      <c r="I51" t="inlineStr">
        <is>
          <t>Sim</t>
        </is>
      </c>
      <c r="J51" t="inlineStr">
        <is>
          <t>Pública Incondicionada</t>
        </is>
      </c>
      <c r="K51" t="inlineStr">
        <is>
          <t>Concêrto para deserção</t>
        </is>
      </c>
      <c r="L51" t="inlineStr">
        <is>
          <t>Sim</t>
        </is>
      </c>
      <c r="M51" t="inlineStr">
        <is>
          <t>h3</t>
        </is>
      </c>
      <c r="N51" t="inlineStr"/>
    </row>
    <row r="52">
      <c r="A52" t="n">
        <v>1217</v>
      </c>
      <c r="B52" t="n">
        <v>12</v>
      </c>
      <c r="C52" t="n">
        <v>48</v>
      </c>
      <c r="D52" t="inlineStr">
        <is>
          <t>Reclusão</t>
        </is>
      </c>
      <c r="E52" t="inlineStr">
        <is>
          <t>Não</t>
        </is>
      </c>
      <c r="F52" t="inlineStr">
        <is>
          <t>Não</t>
        </is>
      </c>
      <c r="G52" t="inlineStr">
        <is>
          <t>Não</t>
        </is>
      </c>
      <c r="H52" t="inlineStr">
        <is>
          <t>Doloso</t>
        </is>
      </c>
      <c r="I52" t="inlineStr">
        <is>
          <t>Sim</t>
        </is>
      </c>
      <c r="J52" t="inlineStr">
        <is>
          <t>Pública Incondicionada</t>
        </is>
      </c>
      <c r="K52" t="inlineStr">
        <is>
          <t>Desacato a autoridade judiciária militar</t>
        </is>
      </c>
      <c r="L52" t="inlineStr">
        <is>
          <t>Sim</t>
        </is>
      </c>
      <c r="M52" t="inlineStr">
        <is>
          <t>h3</t>
        </is>
      </c>
      <c r="N52" t="inlineStr"/>
    </row>
    <row r="53">
      <c r="A53" t="n">
        <v>1037</v>
      </c>
      <c r="B53" t="n">
        <v>36</v>
      </c>
      <c r="C53" t="n">
        <v>108</v>
      </c>
      <c r="D53" t="inlineStr">
        <is>
          <t>Reclusão</t>
        </is>
      </c>
      <c r="E53" t="inlineStr">
        <is>
          <t>Não</t>
        </is>
      </c>
      <c r="F53" t="inlineStr">
        <is>
          <t>Sim</t>
        </is>
      </c>
      <c r="G53" t="inlineStr">
        <is>
          <t>Não</t>
        </is>
      </c>
      <c r="H53" t="inlineStr">
        <is>
          <t>Doloso</t>
        </is>
      </c>
      <c r="I53" t="inlineStr">
        <is>
          <t>Sim</t>
        </is>
      </c>
      <c r="J53" t="inlineStr">
        <is>
          <t>Pública Incondicionada</t>
        </is>
      </c>
      <c r="K53" t="inlineStr">
        <is>
          <t>Violência contra superior — comandante da unidade ou oficial general</t>
        </is>
      </c>
      <c r="L53" t="inlineStr">
        <is>
          <t>Sim</t>
        </is>
      </c>
      <c r="M53" t="inlineStr">
        <is>
          <t>h3</t>
        </is>
      </c>
      <c r="N53" t="inlineStr"/>
    </row>
    <row r="54">
      <c r="A54" t="n">
        <v>1186</v>
      </c>
      <c r="B54" t="n">
        <v>24</v>
      </c>
      <c r="C54" t="n">
        <v>72</v>
      </c>
      <c r="D54" t="inlineStr">
        <is>
          <t>Reclusão</t>
        </is>
      </c>
      <c r="E54" t="inlineStr">
        <is>
          <t>Não</t>
        </is>
      </c>
      <c r="F54" t="inlineStr">
        <is>
          <t>Não</t>
        </is>
      </c>
      <c r="G54" t="inlineStr">
        <is>
          <t>Não</t>
        </is>
      </c>
      <c r="H54" t="inlineStr">
        <is>
          <t>Doloso</t>
        </is>
      </c>
      <c r="I54" t="inlineStr">
        <is>
          <t>Sim</t>
        </is>
      </c>
      <c r="J54" t="inlineStr">
        <is>
          <t>Pública Incondicionada</t>
        </is>
      </c>
      <c r="K54" t="inlineStr">
        <is>
          <t>Supressão de documento — documento público</t>
        </is>
      </c>
      <c r="L54" t="inlineStr">
        <is>
          <t>Sim</t>
        </is>
      </c>
      <c r="M54" t="inlineStr">
        <is>
          <t>h3</t>
        </is>
      </c>
      <c r="N54" t="inlineStr"/>
    </row>
    <row r="55">
      <c r="A55" t="n">
        <v>675</v>
      </c>
      <c r="B55" t="n">
        <v>96</v>
      </c>
      <c r="C55" t="n">
        <v>180</v>
      </c>
      <c r="D55" t="inlineStr">
        <is>
          <t>Reclusão</t>
        </is>
      </c>
      <c r="E55" t="inlineStr">
        <is>
          <t>Não</t>
        </is>
      </c>
      <c r="F55" t="inlineStr">
        <is>
          <t>Não</t>
        </is>
      </c>
      <c r="G55" t="inlineStr">
        <is>
          <t>Não</t>
        </is>
      </c>
      <c r="H55" t="inlineStr">
        <is>
          <t>Doloso</t>
        </is>
      </c>
      <c r="I55" t="inlineStr">
        <is>
          <t>Sim</t>
        </is>
      </c>
      <c r="J55" t="inlineStr">
        <is>
          <t>Pública Incondicionada</t>
        </is>
      </c>
      <c r="K55" t="inlineStr">
        <is>
          <t>Hostilidade contra país estrangeiro</t>
        </is>
      </c>
      <c r="L55" t="inlineStr">
        <is>
          <t>Sim</t>
        </is>
      </c>
      <c r="M55" t="inlineStr">
        <is>
          <t>h3</t>
        </is>
      </c>
      <c r="N55" t="inlineStr"/>
    </row>
    <row r="56">
      <c r="A56" t="n">
        <v>1437</v>
      </c>
      <c r="B56" t="n">
        <v>48</v>
      </c>
      <c r="C56" t="n">
        <v>144</v>
      </c>
      <c r="D56" t="inlineStr">
        <is>
          <t>Reclusão</t>
        </is>
      </c>
      <c r="E56" t="inlineStr">
        <is>
          <t>Não</t>
        </is>
      </c>
      <c r="F56" t="inlineStr">
        <is>
          <t>Não</t>
        </is>
      </c>
      <c r="G56" t="inlineStr">
        <is>
          <t>Não</t>
        </is>
      </c>
      <c r="H56" t="inlineStr">
        <is>
          <t>Doloso</t>
        </is>
      </c>
      <c r="I56" t="inlineStr">
        <is>
          <t>Sim</t>
        </is>
      </c>
      <c r="J56" t="inlineStr">
        <is>
          <t>Pública Incondicionada</t>
        </is>
      </c>
      <c r="K56" t="inlineStr">
        <is>
          <t>Furto qualificado — coisa pertencente à Fazenda Pública (tempo de guerra)</t>
        </is>
      </c>
      <c r="L56" t="inlineStr">
        <is>
          <t>Sim</t>
        </is>
      </c>
      <c r="M56" t="inlineStr">
        <is>
          <t>h4</t>
        </is>
      </c>
      <c r="N56" t="inlineStr">
        <is>
          <t>sim</t>
        </is>
      </c>
    </row>
    <row r="57">
      <c r="A57" t="n">
        <v>1445</v>
      </c>
      <c r="B57" t="n">
        <v>128</v>
      </c>
      <c r="C57" t="n">
        <v>360</v>
      </c>
      <c r="D57" t="inlineStr">
        <is>
          <t>Reclusão</t>
        </is>
      </c>
      <c r="E57" t="inlineStr">
        <is>
          <t>Não</t>
        </is>
      </c>
      <c r="F57" t="inlineStr">
        <is>
          <t>Sim</t>
        </is>
      </c>
      <c r="G57" t="inlineStr">
        <is>
          <t>Sim</t>
        </is>
      </c>
      <c r="H57" t="inlineStr">
        <is>
          <t>Doloso</t>
        </is>
      </c>
      <c r="I57" t="inlineStr">
        <is>
          <t>Sim</t>
        </is>
      </c>
      <c r="J57" t="inlineStr">
        <is>
          <t>Pública Incondicionada</t>
        </is>
      </c>
      <c r="K57" t="inlineStr">
        <is>
          <t>Extorsão qualificada (tempo de guerra)</t>
        </is>
      </c>
      <c r="L57" t="inlineStr">
        <is>
          <t>Sim</t>
        </is>
      </c>
      <c r="M57" t="inlineStr">
        <is>
          <t>h4</t>
        </is>
      </c>
      <c r="N57" t="inlineStr"/>
    </row>
    <row r="58">
      <c r="A58" t="n">
        <v>1439</v>
      </c>
      <c r="B58" t="n">
        <v>72</v>
      </c>
      <c r="C58" t="n">
        <v>240</v>
      </c>
      <c r="D58" t="inlineStr">
        <is>
          <t>Reclusão</t>
        </is>
      </c>
      <c r="E58" t="inlineStr">
        <is>
          <t>Não</t>
        </is>
      </c>
      <c r="F58" t="inlineStr">
        <is>
          <t>Não</t>
        </is>
      </c>
      <c r="G58" t="inlineStr">
        <is>
          <t>Não</t>
        </is>
      </c>
      <c r="H58" t="inlineStr">
        <is>
          <t>Doloso</t>
        </is>
      </c>
      <c r="I58" t="inlineStr">
        <is>
          <t>Sim</t>
        </is>
      </c>
      <c r="J58" t="inlineStr">
        <is>
          <t>Pública Incondicionada</t>
        </is>
      </c>
      <c r="K58" t="inlineStr">
        <is>
          <t>Furto qualificado — material de uso restrito militar (tempo de guerra)</t>
        </is>
      </c>
      <c r="L58" t="inlineStr">
        <is>
          <t>Sim</t>
        </is>
      </c>
      <c r="M58" t="inlineStr">
        <is>
          <t>h4</t>
        </is>
      </c>
      <c r="N58" t="inlineStr"/>
    </row>
    <row r="59">
      <c r="A59" t="n">
        <v>1435</v>
      </c>
      <c r="B59" t="n">
        <v>9</v>
      </c>
      <c r="C59" t="n">
        <v>36</v>
      </c>
      <c r="D59" t="inlineStr">
        <is>
          <t>Detenção</t>
        </is>
      </c>
      <c r="E59" t="inlineStr">
        <is>
          <t>Não</t>
        </is>
      </c>
      <c r="F59" t="inlineStr">
        <is>
          <t>Não</t>
        </is>
      </c>
      <c r="G59" t="inlineStr">
        <is>
          <t>Não</t>
        </is>
      </c>
      <c r="H59" t="inlineStr">
        <is>
          <t>Doloso</t>
        </is>
      </c>
      <c r="I59" t="inlineStr">
        <is>
          <t>Sim</t>
        </is>
      </c>
      <c r="J59" t="inlineStr">
        <is>
          <t>Pública Incondicionada</t>
        </is>
      </c>
      <c r="K59" t="inlineStr">
        <is>
          <t>Deserção por evasão ou fuga (tempo de guerra)</t>
        </is>
      </c>
      <c r="L59" t="inlineStr">
        <is>
          <t>Sim</t>
        </is>
      </c>
      <c r="M59" t="inlineStr">
        <is>
          <t>h4</t>
        </is>
      </c>
      <c r="N59" t="inlineStr"/>
    </row>
    <row r="60">
      <c r="A60" t="n">
        <v>1433</v>
      </c>
      <c r="B60" t="n">
        <v>4.5</v>
      </c>
      <c r="C60" t="n">
        <v>18</v>
      </c>
      <c r="D60" t="inlineStr">
        <is>
          <t>Detenção</t>
        </is>
      </c>
      <c r="E60" t="inlineStr">
        <is>
          <t>Não</t>
        </is>
      </c>
      <c r="F60" t="inlineStr">
        <is>
          <t>Não</t>
        </is>
      </c>
      <c r="G60" t="inlineStr">
        <is>
          <t>Não</t>
        </is>
      </c>
      <c r="H60" t="inlineStr">
        <is>
          <t>Doloso</t>
        </is>
      </c>
      <c r="I60" t="inlineStr">
        <is>
          <t>Sim</t>
        </is>
      </c>
      <c r="J60" t="inlineStr">
        <is>
          <t>Pública Incondicionada</t>
        </is>
      </c>
      <c r="K60" t="inlineStr">
        <is>
          <t>Concerto para deserção não consumada (tempo de guerra)</t>
        </is>
      </c>
      <c r="L60" t="inlineStr">
        <is>
          <t>Sim</t>
        </is>
      </c>
      <c r="M60" t="inlineStr">
        <is>
          <t>h4</t>
        </is>
      </c>
      <c r="N60" t="inlineStr"/>
    </row>
    <row r="61">
      <c r="A61" t="n">
        <v>1526</v>
      </c>
      <c r="B61" t="n">
        <v>96</v>
      </c>
      <c r="C61" t="n">
        <v>240</v>
      </c>
      <c r="D61" t="inlineStr">
        <is>
          <t>Reclusão</t>
        </is>
      </c>
      <c r="E61" t="inlineStr">
        <is>
          <t>Sim</t>
        </is>
      </c>
      <c r="F61" t="inlineStr">
        <is>
          <t>Não</t>
        </is>
      </c>
      <c r="G61" t="inlineStr">
        <is>
          <t>Sim</t>
        </is>
      </c>
      <c r="H61" t="inlineStr">
        <is>
          <t>Qualificado pelo resultado</t>
        </is>
      </c>
      <c r="I61" t="inlineStr">
        <is>
          <t>Sim</t>
        </is>
      </c>
      <c r="J61" t="inlineStr">
        <is>
          <t>Pública Incondicionada</t>
        </is>
      </c>
      <c r="K61" t="inlineStr">
        <is>
          <t>Extorsão mediante sequestro — grave sofrimento físico ou moral (tempo de paz)</t>
        </is>
      </c>
      <c r="L61" t="inlineStr">
        <is>
          <t>Sim</t>
        </is>
      </c>
      <c r="M61" t="inlineStr">
        <is>
          <t>h4</t>
        </is>
      </c>
      <c r="N61" t="inlineStr"/>
    </row>
    <row r="62">
      <c r="A62" t="n">
        <v>1431</v>
      </c>
      <c r="B62" t="n">
        <v>4.5</v>
      </c>
      <c r="C62" t="n">
        <v>18</v>
      </c>
      <c r="D62" t="inlineStr">
        <is>
          <t>Detenção</t>
        </is>
      </c>
      <c r="E62" t="inlineStr">
        <is>
          <t>Não</t>
        </is>
      </c>
      <c r="F62" t="inlineStr">
        <is>
          <t>Não</t>
        </is>
      </c>
      <c r="G62" t="inlineStr">
        <is>
          <t>Não</t>
        </is>
      </c>
      <c r="H62" t="inlineStr">
        <is>
          <t>Doloso</t>
        </is>
      </c>
      <c r="I62" t="inlineStr">
        <is>
          <t>Sim</t>
        </is>
      </c>
      <c r="J62" t="inlineStr">
        <is>
          <t>Pública Incondicionada</t>
        </is>
      </c>
      <c r="K62" t="inlineStr">
        <is>
          <t>Deserção especial — apresentação em mais de 5 e até 8 dias (tempo de guerra)</t>
        </is>
      </c>
      <c r="L62" t="inlineStr">
        <is>
          <t>Sim</t>
        </is>
      </c>
      <c r="M62" t="inlineStr">
        <is>
          <t>h4</t>
        </is>
      </c>
      <c r="N62" t="inlineStr"/>
    </row>
    <row r="63">
      <c r="A63" t="n">
        <v>1454</v>
      </c>
      <c r="B63" t="n">
        <v>180</v>
      </c>
      <c r="C63" t="n">
        <v>360</v>
      </c>
      <c r="D63" t="inlineStr">
        <is>
          <t>Reclusão</t>
        </is>
      </c>
      <c r="E63" t="inlineStr">
        <is>
          <t>Sim</t>
        </is>
      </c>
      <c r="F63" t="inlineStr">
        <is>
          <t>Sim</t>
        </is>
      </c>
      <c r="G63" t="inlineStr">
        <is>
          <t>Sim</t>
        </is>
      </c>
      <c r="H63" t="inlineStr">
        <is>
          <t>Qualificado pelo resultado</t>
        </is>
      </c>
      <c r="I63" t="inlineStr">
        <is>
          <t>Sim</t>
        </is>
      </c>
      <c r="J63" t="inlineStr">
        <is>
          <t>Pública Incondicionada</t>
        </is>
      </c>
      <c r="K63" t="inlineStr">
        <is>
          <t>Extorsão qualificada pela morte (tempo de paz)</t>
        </is>
      </c>
      <c r="L63" t="inlineStr">
        <is>
          <t>Sim</t>
        </is>
      </c>
      <c r="M63" t="inlineStr">
        <is>
          <t>h4</t>
        </is>
      </c>
      <c r="N63" t="inlineStr"/>
    </row>
    <row r="64">
      <c r="A64" t="n">
        <v>1527</v>
      </c>
      <c r="B64" t="n">
        <v>120</v>
      </c>
      <c r="C64" t="n">
        <v>360</v>
      </c>
      <c r="D64" t="inlineStr">
        <is>
          <t>Reclusão</t>
        </is>
      </c>
      <c r="E64" t="inlineStr">
        <is>
          <t>Sim</t>
        </is>
      </c>
      <c r="F64" t="inlineStr">
        <is>
          <t>Não</t>
        </is>
      </c>
      <c r="G64" t="inlineStr">
        <is>
          <t>Não</t>
        </is>
      </c>
      <c r="H64" t="inlineStr">
        <is>
          <t>Preterdoloso</t>
        </is>
      </c>
      <c r="I64" t="inlineStr">
        <is>
          <t>Não</t>
        </is>
      </c>
      <c r="J64" t="inlineStr">
        <is>
          <t>Pública Incondicionada</t>
        </is>
      </c>
      <c r="K64" t="inlineStr">
        <is>
          <t>Epidemia com resultado morte</t>
        </is>
      </c>
      <c r="L64" t="inlineStr">
        <is>
          <t>Sim</t>
        </is>
      </c>
      <c r="M64" t="inlineStr">
        <is>
          <t>h4</t>
        </is>
      </c>
      <c r="N64" t="inlineStr"/>
    </row>
    <row r="65">
      <c r="A65" t="n">
        <v>1429</v>
      </c>
      <c r="B65" t="n">
        <v>1.5</v>
      </c>
      <c r="C65" t="n">
        <v>4.5</v>
      </c>
      <c r="D65" t="inlineStr">
        <is>
          <t>Detenção</t>
        </is>
      </c>
      <c r="E65" t="inlineStr">
        <is>
          <t>Não</t>
        </is>
      </c>
      <c r="F65" t="inlineStr">
        <is>
          <t>Não</t>
        </is>
      </c>
      <c r="G65" t="inlineStr">
        <is>
          <t>Não</t>
        </is>
      </c>
      <c r="H65" t="inlineStr">
        <is>
          <t>Doloso</t>
        </is>
      </c>
      <c r="I65" t="inlineStr">
        <is>
          <t>Sim</t>
        </is>
      </c>
      <c r="J65" t="inlineStr">
        <is>
          <t>Pública Incondicionada</t>
        </is>
      </c>
      <c r="K65" t="inlineStr">
        <is>
          <t>Deserção especial (tempo de guerra)</t>
        </is>
      </c>
      <c r="L65" t="inlineStr">
        <is>
          <t>Sim</t>
        </is>
      </c>
      <c r="M65" t="inlineStr">
        <is>
          <t>h4</t>
        </is>
      </c>
      <c r="N65" t="inlineStr"/>
    </row>
    <row r="66">
      <c r="A66" t="n">
        <v>1430</v>
      </c>
      <c r="B66" t="n">
        <v>3</v>
      </c>
      <c r="C66" t="n">
        <v>12</v>
      </c>
      <c r="D66" t="inlineStr">
        <is>
          <t>Detenção</t>
        </is>
      </c>
      <c r="E66" t="inlineStr">
        <is>
          <t>Não</t>
        </is>
      </c>
      <c r="F66" t="inlineStr">
        <is>
          <t>Não</t>
        </is>
      </c>
      <c r="G66" t="inlineStr">
        <is>
          <t>Não</t>
        </is>
      </c>
      <c r="H66" t="inlineStr">
        <is>
          <t>Doloso</t>
        </is>
      </c>
      <c r="I66" t="inlineStr">
        <is>
          <t>Sim</t>
        </is>
      </c>
      <c r="J66" t="inlineStr">
        <is>
          <t>Pública Incondicionada</t>
        </is>
      </c>
      <c r="K66" t="inlineStr">
        <is>
          <t>Deserção especial — apresentação em mais de 24 horas e até 5 dias (tempo de guerra)</t>
        </is>
      </c>
      <c r="L66" t="inlineStr">
        <is>
          <t>Sim</t>
        </is>
      </c>
      <c r="M66" t="inlineStr">
        <is>
          <t>h4</t>
        </is>
      </c>
      <c r="N66" t="inlineStr"/>
    </row>
    <row r="67">
      <c r="A67" t="n">
        <v>1298</v>
      </c>
      <c r="B67" t="n">
        <v>6</v>
      </c>
      <c r="C67" t="n">
        <v>24</v>
      </c>
      <c r="D67" t="inlineStr">
        <is>
          <t>Detenção</t>
        </is>
      </c>
      <c r="E67" t="inlineStr">
        <is>
          <t>Não</t>
        </is>
      </c>
      <c r="F67" t="inlineStr">
        <is>
          <t>Não</t>
        </is>
      </c>
      <c r="G67" t="inlineStr">
        <is>
          <t>Não</t>
        </is>
      </c>
      <c r="H67" t="inlineStr">
        <is>
          <t>Doloso</t>
        </is>
      </c>
      <c r="I67" t="inlineStr">
        <is>
          <t>Não</t>
        </is>
      </c>
      <c r="J67" t="inlineStr">
        <is>
          <t>Pública Incondicionada</t>
        </is>
      </c>
      <c r="K67" t="inlineStr">
        <is>
          <t>Usura real</t>
        </is>
      </c>
      <c r="L67" t="inlineStr">
        <is>
          <t>Sim</t>
        </is>
      </c>
      <c r="M67" t="inlineStr">
        <is>
          <t>h5</t>
        </is>
      </c>
      <c r="N67" t="inlineStr">
        <is>
          <t>sim</t>
        </is>
      </c>
    </row>
    <row r="68">
      <c r="A68" t="n">
        <v>941</v>
      </c>
      <c r="B68" t="n">
        <v>3</v>
      </c>
      <c r="C68" t="n">
        <v>6</v>
      </c>
      <c r="D68" t="inlineStr">
        <is>
          <t>Detenção</t>
        </is>
      </c>
      <c r="E68" t="inlineStr">
        <is>
          <t>Não</t>
        </is>
      </c>
      <c r="F68" t="inlineStr">
        <is>
          <t>Não</t>
        </is>
      </c>
      <c r="G68" t="inlineStr">
        <is>
          <t>Não</t>
        </is>
      </c>
      <c r="H68" t="inlineStr">
        <is>
          <t>Doloso</t>
        </is>
      </c>
      <c r="I68" t="inlineStr">
        <is>
          <t>Não</t>
        </is>
      </c>
      <c r="J68" t="inlineStr">
        <is>
          <t>Pública Incondicionada</t>
        </is>
      </c>
      <c r="K68" t="inlineStr">
        <is>
          <t>Propaganda eleitoral em língua estrangeira</t>
        </is>
      </c>
      <c r="L68" t="inlineStr">
        <is>
          <t>Sim</t>
        </is>
      </c>
      <c r="M68" t="inlineStr">
        <is>
          <t>h5</t>
        </is>
      </c>
      <c r="N68" t="inlineStr">
        <is>
          <t>sim</t>
        </is>
      </c>
    </row>
    <row r="69">
      <c r="A69" t="n">
        <v>786</v>
      </c>
      <c r="B69" t="n">
        <v>6</v>
      </c>
      <c r="C69" t="n">
        <v>24</v>
      </c>
      <c r="D69" t="inlineStr">
        <is>
          <t>Detenção</t>
        </is>
      </c>
      <c r="E69" t="inlineStr">
        <is>
          <t>Não</t>
        </is>
      </c>
      <c r="F69" t="inlineStr">
        <is>
          <t>Não</t>
        </is>
      </c>
      <c r="G69" t="inlineStr">
        <is>
          <t>Não</t>
        </is>
      </c>
      <c r="H69" t="inlineStr">
        <is>
          <t>Doloso</t>
        </is>
      </c>
      <c r="I69" t="inlineStr">
        <is>
          <t>Sim</t>
        </is>
      </c>
      <c r="J69" t="inlineStr">
        <is>
          <t>Pública Incondicionada</t>
        </is>
      </c>
      <c r="K69" t="inlineStr">
        <is>
          <t>Calúnia eleitoral</t>
        </is>
      </c>
      <c r="L69" t="inlineStr">
        <is>
          <t>Sim</t>
        </is>
      </c>
      <c r="M69" t="inlineStr">
        <is>
          <t>h5</t>
        </is>
      </c>
      <c r="N69" t="inlineStr">
        <is>
          <t>sim</t>
        </is>
      </c>
    </row>
    <row r="70">
      <c r="A70" t="n">
        <v>660</v>
      </c>
      <c r="B70" t="n">
        <v>24</v>
      </c>
      <c r="C70" t="n">
        <v>60</v>
      </c>
      <c r="D70" t="inlineStr">
        <is>
          <t>Reclusão</t>
        </is>
      </c>
      <c r="E70" t="inlineStr">
        <is>
          <t>Não</t>
        </is>
      </c>
      <c r="F70" t="inlineStr">
        <is>
          <t>Não</t>
        </is>
      </c>
      <c r="G70" t="inlineStr">
        <is>
          <t>Não</t>
        </is>
      </c>
      <c r="H70" t="inlineStr">
        <is>
          <t>Doloso</t>
        </is>
      </c>
      <c r="I70" t="inlineStr">
        <is>
          <t>Sim</t>
        </is>
      </c>
      <c r="J70" t="inlineStr">
        <is>
          <t>Pública Incondicionada</t>
        </is>
      </c>
      <c r="K70" t="inlineStr">
        <is>
          <t>Supressão ou redução de tributo — fraude à fiscalização tributária</t>
        </is>
      </c>
      <c r="L70" t="inlineStr">
        <is>
          <t>Sim</t>
        </is>
      </c>
      <c r="M70" t="inlineStr">
        <is>
          <t>h5</t>
        </is>
      </c>
      <c r="N70" t="inlineStr">
        <is>
          <t>sim</t>
        </is>
      </c>
    </row>
    <row r="71">
      <c r="A71" t="n">
        <v>884</v>
      </c>
      <c r="B71" t="n">
        <v>0</v>
      </c>
      <c r="C71" t="n">
        <v>6</v>
      </c>
      <c r="D71" t="inlineStr">
        <is>
          <t>Detenção</t>
        </is>
      </c>
      <c r="E71" t="inlineStr">
        <is>
          <t>Não</t>
        </is>
      </c>
      <c r="F71" t="inlineStr">
        <is>
          <t>Não</t>
        </is>
      </c>
      <c r="G71" t="inlineStr">
        <is>
          <t>Não</t>
        </is>
      </c>
      <c r="H71" t="inlineStr">
        <is>
          <t>Doloso</t>
        </is>
      </c>
      <c r="I71" t="inlineStr">
        <is>
          <t>Sim</t>
        </is>
      </c>
      <c r="J71" t="inlineStr">
        <is>
          <t>Pública Incondicionada</t>
        </is>
      </c>
      <c r="K71" t="inlineStr">
        <is>
          <t>Violação de correspondência</t>
        </is>
      </c>
      <c r="L71" t="inlineStr">
        <is>
          <t>Sim</t>
        </is>
      </c>
      <c r="M71" t="inlineStr">
        <is>
          <t>h5</t>
        </is>
      </c>
      <c r="N71" t="inlineStr">
        <is>
          <t>sim</t>
        </is>
      </c>
    </row>
    <row r="72">
      <c r="A72" t="n">
        <v>846</v>
      </c>
      <c r="B72" t="n">
        <v>1</v>
      </c>
      <c r="C72" t="n">
        <v>6</v>
      </c>
      <c r="D72" t="inlineStr">
        <is>
          <t>Prisão simples</t>
        </is>
      </c>
      <c r="E72" t="inlineStr">
        <is>
          <t>Não</t>
        </is>
      </c>
      <c r="F72" t="inlineStr">
        <is>
          <t>Não</t>
        </is>
      </c>
      <c r="G72" t="inlineStr">
        <is>
          <t>Não</t>
        </is>
      </c>
      <c r="H72" t="inlineStr">
        <is>
          <t>Doloso</t>
        </is>
      </c>
      <c r="I72" t="inlineStr">
        <is>
          <t>Não</t>
        </is>
      </c>
      <c r="J72" t="inlineStr">
        <is>
          <t>Pública Incondicionada</t>
        </is>
      </c>
      <c r="K72" t="inlineStr">
        <is>
          <t>Impressão de bilhetes, listas de sorteio, avisos ou cartazes de loteria onde ela não possa legalmente circular</t>
        </is>
      </c>
      <c r="L72" t="inlineStr">
        <is>
          <t>Sim</t>
        </is>
      </c>
      <c r="M72" t="inlineStr">
        <is>
          <t>h5</t>
        </is>
      </c>
      <c r="N72" t="inlineStr">
        <is>
          <t>sim</t>
        </is>
      </c>
    </row>
    <row r="73">
      <c r="A73" t="n">
        <v>433</v>
      </c>
      <c r="B73" t="n">
        <v>12</v>
      </c>
      <c r="C73" t="n">
        <v>48</v>
      </c>
      <c r="D73" t="inlineStr">
        <is>
          <t>Detenção</t>
        </is>
      </c>
      <c r="E73" t="inlineStr">
        <is>
          <t>Não</t>
        </is>
      </c>
      <c r="F73" t="inlineStr">
        <is>
          <t>Não</t>
        </is>
      </c>
      <c r="G73" t="inlineStr">
        <is>
          <t>Não</t>
        </is>
      </c>
      <c r="H73" t="inlineStr">
        <is>
          <t>Doloso</t>
        </is>
      </c>
      <c r="I73" t="inlineStr">
        <is>
          <t>Não</t>
        </is>
      </c>
      <c r="J73" t="inlineStr">
        <is>
          <t>Pública Incondicionada</t>
        </is>
      </c>
      <c r="K73" t="inlineStr">
        <is>
          <t>Manutenção de presos de sexos diferentes na mesma cela ou espaço de confinamento</t>
        </is>
      </c>
      <c r="L73" t="inlineStr">
        <is>
          <t>Sim</t>
        </is>
      </c>
      <c r="M73" t="inlineStr">
        <is>
          <t>h5</t>
        </is>
      </c>
      <c r="N73" t="inlineStr">
        <is>
          <t>sim</t>
        </is>
      </c>
    </row>
    <row r="74">
      <c r="A74" t="n">
        <v>395</v>
      </c>
      <c r="B74" t="n">
        <v>24</v>
      </c>
      <c r="C74" t="n">
        <v>60</v>
      </c>
      <c r="D74" t="inlineStr">
        <is>
          <t>Reclusão</t>
        </is>
      </c>
      <c r="E74" t="inlineStr">
        <is>
          <t>Não</t>
        </is>
      </c>
      <c r="F74" t="inlineStr">
        <is>
          <t>Não</t>
        </is>
      </c>
      <c r="G74" t="inlineStr">
        <is>
          <t>Não</t>
        </is>
      </c>
      <c r="H74" t="inlineStr">
        <is>
          <t>Doloso</t>
        </is>
      </c>
      <c r="I74" t="inlineStr">
        <is>
          <t>Sim</t>
        </is>
      </c>
      <c r="J74" t="inlineStr">
        <is>
          <t>Pública Incondicionada</t>
        </is>
      </c>
      <c r="K74" t="inlineStr">
        <is>
          <t>Sonegação fiscal material (suprimir/reduzir tributo mediante conduta comissiva)</t>
        </is>
      </c>
      <c r="L74" t="inlineStr">
        <is>
          <t>Sim</t>
        </is>
      </c>
      <c r="M74" t="inlineStr">
        <is>
          <t>h5</t>
        </is>
      </c>
      <c r="N74" t="inlineStr"/>
    </row>
    <row r="75">
      <c r="A75" t="n">
        <v>645</v>
      </c>
      <c r="B75" t="n">
        <v>12</v>
      </c>
      <c r="C75" t="n">
        <v>48</v>
      </c>
      <c r="D75" t="inlineStr">
        <is>
          <t>Reclusão</t>
        </is>
      </c>
      <c r="E75" t="inlineStr">
        <is>
          <t>Não</t>
        </is>
      </c>
      <c r="F75" t="inlineStr">
        <is>
          <t>Não</t>
        </is>
      </c>
      <c r="G75" t="inlineStr">
        <is>
          <t>Não</t>
        </is>
      </c>
      <c r="H75" t="inlineStr">
        <is>
          <t>Doloso</t>
        </is>
      </c>
      <c r="I75" t="inlineStr">
        <is>
          <t>Sim</t>
        </is>
      </c>
      <c r="J75" t="inlineStr">
        <is>
          <t>Pública Incondicionada</t>
        </is>
      </c>
      <c r="K75" t="inlineStr">
        <is>
          <t>Engenharia genética em célula germinal humana, zigoto ou embrião humano</t>
        </is>
      </c>
      <c r="L75" t="inlineStr">
        <is>
          <t>Sim</t>
        </is>
      </c>
      <c r="M75" t="inlineStr">
        <is>
          <t>h5</t>
        </is>
      </c>
      <c r="N75" t="inlineStr"/>
    </row>
    <row r="76">
      <c r="A76" t="n">
        <v>914</v>
      </c>
      <c r="B76" t="n">
        <v>1</v>
      </c>
      <c r="C76" t="n">
        <v>4</v>
      </c>
      <c r="D76" t="inlineStr">
        <is>
          <t>Prisão simples</t>
        </is>
      </c>
      <c r="E76" t="inlineStr">
        <is>
          <t>Não</t>
        </is>
      </c>
      <c r="F76" t="inlineStr">
        <is>
          <t>Não</t>
        </is>
      </c>
      <c r="G76" t="inlineStr">
        <is>
          <t>Não</t>
        </is>
      </c>
      <c r="H76" t="inlineStr">
        <is>
          <t>Doloso</t>
        </is>
      </c>
      <c r="I76" t="inlineStr">
        <is>
          <t>Não</t>
        </is>
      </c>
      <c r="J76" t="inlineStr">
        <is>
          <t>Pública Incondicionada</t>
        </is>
      </c>
      <c r="K76" t="inlineStr">
        <is>
          <t>Exibição ou guarda de listas de sorteio de loteria estrangeira ou de loteria estadual fora do território respectivo</t>
        </is>
      </c>
      <c r="L76" t="inlineStr">
        <is>
          <t>Sim</t>
        </is>
      </c>
      <c r="M76" t="inlineStr">
        <is>
          <t>h5</t>
        </is>
      </c>
      <c r="N76" t="inlineStr"/>
    </row>
    <row r="77">
      <c r="A77" t="n">
        <v>844</v>
      </c>
      <c r="B77" t="n">
        <v>2</v>
      </c>
      <c r="C77" t="n">
        <v>6</v>
      </c>
      <c r="D77" t="inlineStr">
        <is>
          <t>Prisão simples</t>
        </is>
      </c>
      <c r="E77" t="inlineStr">
        <is>
          <t>Não</t>
        </is>
      </c>
      <c r="F77" t="inlineStr">
        <is>
          <t>Não</t>
        </is>
      </c>
      <c r="G77" t="inlineStr">
        <is>
          <t>Não</t>
        </is>
      </c>
      <c r="H77" t="inlineStr">
        <is>
          <t>Doloso</t>
        </is>
      </c>
      <c r="I77" t="inlineStr">
        <is>
          <t>Não</t>
        </is>
      </c>
      <c r="J77" t="inlineStr">
        <is>
          <t>Pública Incondicionada</t>
        </is>
      </c>
      <c r="K77" t="inlineStr">
        <is>
          <t>Loteria estadual</t>
        </is>
      </c>
      <c r="L77" t="inlineStr">
        <is>
          <t>Sim</t>
        </is>
      </c>
      <c r="M77" t="inlineStr">
        <is>
          <t>h5</t>
        </is>
      </c>
      <c r="N77" t="inlineStr"/>
    </row>
    <row r="78">
      <c r="A78" t="n">
        <v>1007</v>
      </c>
      <c r="B78" t="n">
        <v>6</v>
      </c>
      <c r="C78" t="n">
        <v>24</v>
      </c>
      <c r="D78" t="inlineStr">
        <is>
          <t>Detenção</t>
        </is>
      </c>
      <c r="E78" t="inlineStr">
        <is>
          <t>Não</t>
        </is>
      </c>
      <c r="F78" t="inlineStr">
        <is>
          <t>Não</t>
        </is>
      </c>
      <c r="G78" t="inlineStr">
        <is>
          <t>Não</t>
        </is>
      </c>
      <c r="H78" t="inlineStr">
        <is>
          <t>Doloso</t>
        </is>
      </c>
      <c r="I78" t="inlineStr">
        <is>
          <t>Sim</t>
        </is>
      </c>
      <c r="J78" t="inlineStr">
        <is>
          <t>Pública Incondicionada</t>
        </is>
      </c>
      <c r="K78" t="inlineStr">
        <is>
          <t>Usura pecuniária (cobrar juros, comissões ou descontos acima da taxa legal)</t>
        </is>
      </c>
      <c r="L78" t="inlineStr">
        <is>
          <t>Sim</t>
        </is>
      </c>
      <c r="M78" t="inlineStr">
        <is>
          <t>h5</t>
        </is>
      </c>
      <c r="N78" t="inlineStr"/>
    </row>
    <row r="79">
      <c r="A79" t="n">
        <v>391</v>
      </c>
      <c r="B79" t="n">
        <v>6</v>
      </c>
      <c r="C79" t="n">
        <v>24</v>
      </c>
      <c r="D79" t="inlineStr">
        <is>
          <t>Reclusão</t>
        </is>
      </c>
      <c r="E79" t="inlineStr">
        <is>
          <t>Não</t>
        </is>
      </c>
      <c r="F79" t="inlineStr">
        <is>
          <t>Não</t>
        </is>
      </c>
      <c r="G79" t="inlineStr">
        <is>
          <t>Não</t>
        </is>
      </c>
      <c r="H79" t="inlineStr">
        <is>
          <t>Doloso</t>
        </is>
      </c>
      <c r="I79" t="inlineStr">
        <is>
          <t>Sim</t>
        </is>
      </c>
      <c r="J79" t="inlineStr">
        <is>
          <t>Pública Incondicionada</t>
        </is>
      </c>
      <c r="K79" t="inlineStr">
        <is>
          <t>Recusa ou omissão de dados requisitados na investigação ou no processo</t>
        </is>
      </c>
      <c r="L79" t="inlineStr">
        <is>
          <t>Sim</t>
        </is>
      </c>
      <c r="M79" t="inlineStr">
        <is>
          <t>h5</t>
        </is>
      </c>
      <c r="N79" t="inlineStr"/>
    </row>
    <row r="80">
      <c r="A80" t="n">
        <v>967</v>
      </c>
      <c r="B80" t="n">
        <v>12</v>
      </c>
      <c r="C80" t="n">
        <v>36</v>
      </c>
      <c r="D80" t="inlineStr">
        <is>
          <t>Detenção</t>
        </is>
      </c>
      <c r="E80" t="inlineStr">
        <is>
          <t>Não</t>
        </is>
      </c>
      <c r="F80" t="inlineStr">
        <is>
          <t>Não</t>
        </is>
      </c>
      <c r="G80" t="inlineStr">
        <is>
          <t>Não</t>
        </is>
      </c>
      <c r="H80" t="inlineStr">
        <is>
          <t>Doloso</t>
        </is>
      </c>
      <c r="I80" t="inlineStr">
        <is>
          <t>Sim</t>
        </is>
      </c>
      <c r="J80" t="inlineStr">
        <is>
          <t>Pública Incondicionada</t>
        </is>
      </c>
      <c r="K80" t="inlineStr">
        <is>
          <t>Exibição de informações ou imagens depreciativas da pessoa idosa</t>
        </is>
      </c>
      <c r="L80" t="inlineStr">
        <is>
          <t>Sim</t>
        </is>
      </c>
      <c r="M80" t="inlineStr">
        <is>
          <t>h5</t>
        </is>
      </c>
      <c r="N80" t="inlineStr"/>
    </row>
    <row r="81">
      <c r="A81" t="n">
        <v>1005</v>
      </c>
      <c r="B81" t="n">
        <v>6</v>
      </c>
      <c r="C81" t="n">
        <v>24</v>
      </c>
      <c r="D81" t="inlineStr">
        <is>
          <t>Detenção</t>
        </is>
      </c>
      <c r="E81" t="inlineStr">
        <is>
          <t>Não</t>
        </is>
      </c>
      <c r="F81" t="inlineStr">
        <is>
          <t>Não</t>
        </is>
      </c>
      <c r="G81" t="inlineStr">
        <is>
          <t>Não</t>
        </is>
      </c>
      <c r="H81" t="inlineStr">
        <is>
          <t>Doloso</t>
        </is>
      </c>
      <c r="I81" t="inlineStr">
        <is>
          <t>Sim</t>
        </is>
      </c>
      <c r="J81" t="inlineStr">
        <is>
          <t>Pública Incondicionada</t>
        </is>
      </c>
      <c r="K81" t="inlineStr">
        <is>
          <t>Negativa de acesso aos autos ao interessado, ao defensor ou ao advogado</t>
        </is>
      </c>
      <c r="L81" t="inlineStr">
        <is>
          <t>Sim</t>
        </is>
      </c>
      <c r="M81" t="inlineStr">
        <is>
          <t>h5</t>
        </is>
      </c>
      <c r="N81" t="inlineStr"/>
    </row>
    <row r="82">
      <c r="A82" t="n">
        <v>420</v>
      </c>
      <c r="B82" t="n">
        <v>12</v>
      </c>
      <c r="C82" t="n">
        <v>36</v>
      </c>
      <c r="D82" t="inlineStr">
        <is>
          <t>Reclusão</t>
        </is>
      </c>
      <c r="E82" t="inlineStr">
        <is>
          <t>Não</t>
        </is>
      </c>
      <c r="F82" t="inlineStr">
        <is>
          <t>Não</t>
        </is>
      </c>
      <c r="G82" t="inlineStr">
        <is>
          <t>Não</t>
        </is>
      </c>
      <c r="H82" t="inlineStr">
        <is>
          <t>Doloso</t>
        </is>
      </c>
      <c r="I82" t="inlineStr">
        <is>
          <t>Sim</t>
        </is>
      </c>
      <c r="J82" t="inlineStr">
        <is>
          <t>Pública Incondicionada</t>
        </is>
      </c>
      <c r="K82" t="inlineStr">
        <is>
          <t>Impedimento de acesso ou uso de transportes públicos</t>
        </is>
      </c>
      <c r="L82" t="inlineStr">
        <is>
          <t>Sim</t>
        </is>
      </c>
      <c r="M82" t="inlineStr">
        <is>
          <t>h5</t>
        </is>
      </c>
      <c r="N82" t="inlineStr"/>
    </row>
    <row r="83">
      <c r="A83" t="n">
        <v>1427</v>
      </c>
      <c r="B83" t="n">
        <v>3</v>
      </c>
      <c r="C83" t="n">
        <v>12</v>
      </c>
      <c r="D83" t="inlineStr">
        <is>
          <t>Detenção</t>
        </is>
      </c>
      <c r="E83" t="inlineStr">
        <is>
          <t>Não</t>
        </is>
      </c>
      <c r="F83" t="inlineStr">
        <is>
          <t>Não</t>
        </is>
      </c>
      <c r="G83" t="inlineStr">
        <is>
          <t>Não</t>
        </is>
      </c>
      <c r="H83" t="inlineStr">
        <is>
          <t>Culposo</t>
        </is>
      </c>
      <c r="I83" t="inlineStr">
        <is>
          <t>Não</t>
        </is>
      </c>
      <c r="J83" t="inlineStr">
        <is>
          <t>Pública Incondicionada</t>
        </is>
      </c>
      <c r="K83" t="inlineStr">
        <is>
          <t>Descumprimento de obrigação de relevante interesse ambiental — modalidade culposa</t>
        </is>
      </c>
      <c r="L83" t="inlineStr">
        <is>
          <t>Sim</t>
        </is>
      </c>
      <c r="M83" t="inlineStr">
        <is>
          <t>h5</t>
        </is>
      </c>
      <c r="N83" t="inlineStr"/>
    </row>
    <row r="84">
      <c r="A84" t="n">
        <v>362</v>
      </c>
      <c r="B84" t="n">
        <v>12</v>
      </c>
      <c r="C84" t="n">
        <v>24</v>
      </c>
      <c r="D84" t="inlineStr">
        <is>
          <t>Reclusão</t>
        </is>
      </c>
      <c r="E84" t="inlineStr">
        <is>
          <t>Não</t>
        </is>
      </c>
      <c r="F84" t="inlineStr">
        <is>
          <t>Não</t>
        </is>
      </c>
      <c r="G84" t="inlineStr">
        <is>
          <t>Não</t>
        </is>
      </c>
      <c r="H84" t="inlineStr">
        <is>
          <t>Doloso</t>
        </is>
      </c>
      <c r="I84" t="inlineStr">
        <is>
          <t>Sim</t>
        </is>
      </c>
      <c r="J84" t="inlineStr">
        <is>
          <t>Pública Incondicionada</t>
        </is>
      </c>
      <c r="K84" t="inlineStr">
        <is>
          <t>Cortar ou transformar em carvão madeira de lei protegida sem autorização</t>
        </is>
      </c>
      <c r="L84" t="inlineStr">
        <is>
          <t>Sim</t>
        </is>
      </c>
      <c r="M84" t="inlineStr">
        <is>
          <t>h5</t>
        </is>
      </c>
      <c r="N84" t="inlineStr"/>
    </row>
    <row r="85">
      <c r="A85" t="n">
        <v>532</v>
      </c>
      <c r="B85" t="n">
        <v>6</v>
      </c>
      <c r="C85" t="n">
        <v>12</v>
      </c>
      <c r="D85" t="inlineStr">
        <is>
          <t>Detenção</t>
        </is>
      </c>
      <c r="E85" t="inlineStr">
        <is>
          <t>Não</t>
        </is>
      </c>
      <c r="F85" t="inlineStr">
        <is>
          <t>Não</t>
        </is>
      </c>
      <c r="G85" t="inlineStr">
        <is>
          <t>Não</t>
        </is>
      </c>
      <c r="H85" t="inlineStr">
        <is>
          <t>Doloso</t>
        </is>
      </c>
      <c r="I85" t="inlineStr">
        <is>
          <t>Sim</t>
        </is>
      </c>
      <c r="J85" t="inlineStr">
        <is>
          <t>Pública Incondicionada</t>
        </is>
      </c>
      <c r="K85" t="inlineStr">
        <is>
          <t>Divulgação de pesquisa eleitoral fraudulenta</t>
        </is>
      </c>
      <c r="L85" t="inlineStr">
        <is>
          <t>Sim</t>
        </is>
      </c>
      <c r="M85" t="inlineStr">
        <is>
          <t>h5</t>
        </is>
      </c>
      <c r="N85" t="inlineStr"/>
    </row>
    <row r="86">
      <c r="A86" t="n">
        <v>775</v>
      </c>
      <c r="B86" t="n">
        <v>12</v>
      </c>
      <c r="C86" t="n">
        <v>60</v>
      </c>
      <c r="D86" t="inlineStr">
        <is>
          <t>Reclusão</t>
        </is>
      </c>
      <c r="E86" t="inlineStr">
        <is>
          <t>Não</t>
        </is>
      </c>
      <c r="F86" t="inlineStr">
        <is>
          <t>Não</t>
        </is>
      </c>
      <c r="G86" t="inlineStr">
        <is>
          <t>Não</t>
        </is>
      </c>
      <c r="H86" t="inlineStr">
        <is>
          <t>Doloso</t>
        </is>
      </c>
      <c r="I86" t="inlineStr">
        <is>
          <t>Sim</t>
        </is>
      </c>
      <c r="J86" t="inlineStr">
        <is>
          <t>Pública Incondicionada</t>
        </is>
      </c>
      <c r="K86" t="inlineStr">
        <is>
          <t>Efetuar o juiz, fraudulentamente, a inscrição de alistando</t>
        </is>
      </c>
      <c r="L86" t="inlineStr">
        <is>
          <t>Sim</t>
        </is>
      </c>
      <c r="M86" t="inlineStr">
        <is>
          <t>h5</t>
        </is>
      </c>
      <c r="N86" t="inlineStr"/>
    </row>
    <row r="87">
      <c r="A87" t="n">
        <v>355</v>
      </c>
      <c r="B87" t="n">
        <v>12</v>
      </c>
      <c r="C87" t="n">
        <v>36</v>
      </c>
      <c r="D87" t="inlineStr">
        <is>
          <t>Detenção</t>
        </is>
      </c>
      <c r="E87" t="inlineStr">
        <is>
          <t>Não</t>
        </is>
      </c>
      <c r="F87" t="inlineStr">
        <is>
          <t>Não</t>
        </is>
      </c>
      <c r="G87" t="inlineStr">
        <is>
          <t>Não</t>
        </is>
      </c>
      <c r="H87" t="inlineStr">
        <is>
          <t>Doloso</t>
        </is>
      </c>
      <c r="I87" t="inlineStr">
        <is>
          <t>Sim</t>
        </is>
      </c>
      <c r="J87" t="inlineStr">
        <is>
          <t>Pública Incondicionada</t>
        </is>
      </c>
      <c r="K87" t="inlineStr">
        <is>
          <t>Destruição ou dano de floresta de preservação permanente</t>
        </is>
      </c>
      <c r="L87" t="inlineStr">
        <is>
          <t>Sim</t>
        </is>
      </c>
      <c r="M87" t="inlineStr">
        <is>
          <t>h5</t>
        </is>
      </c>
      <c r="N87" t="inlineStr"/>
    </row>
    <row r="88">
      <c r="A88" t="n">
        <v>514</v>
      </c>
      <c r="B88" t="n">
        <v>6</v>
      </c>
      <c r="C88" t="n">
        <v>12</v>
      </c>
      <c r="D88" t="inlineStr">
        <is>
          <t>Detenção</t>
        </is>
      </c>
      <c r="E88" t="inlineStr">
        <is>
          <t>Não</t>
        </is>
      </c>
      <c r="F88" t="inlineStr">
        <is>
          <t>Não</t>
        </is>
      </c>
      <c r="G88" t="inlineStr">
        <is>
          <t>Não</t>
        </is>
      </c>
      <c r="H88" t="inlineStr">
        <is>
          <t>Doloso</t>
        </is>
      </c>
      <c r="I88" t="inlineStr">
        <is>
          <t>Sim</t>
        </is>
      </c>
      <c r="J88" t="inlineStr">
        <is>
          <t>Pública Incondicionada</t>
        </is>
      </c>
      <c r="K88" t="inlineStr">
        <is>
          <t>Impedimento de acesso do consumidor a informações sobre ele em cadastros</t>
        </is>
      </c>
      <c r="L88" t="inlineStr">
        <is>
          <t>Sim</t>
        </is>
      </c>
      <c r="M88" t="inlineStr">
        <is>
          <t>h5</t>
        </is>
      </c>
      <c r="N88" t="inlineStr"/>
    </row>
    <row r="89">
      <c r="A89" t="n">
        <v>487</v>
      </c>
      <c r="B89" t="n">
        <v>24</v>
      </c>
      <c r="C89" t="n">
        <v>48</v>
      </c>
      <c r="D89" t="inlineStr">
        <is>
          <t>Reclusão</t>
        </is>
      </c>
      <c r="E89" t="inlineStr">
        <is>
          <t>Não</t>
        </is>
      </c>
      <c r="F89" t="inlineStr">
        <is>
          <t>Não</t>
        </is>
      </c>
      <c r="G89" t="inlineStr">
        <is>
          <t>Não</t>
        </is>
      </c>
      <c r="H89" t="inlineStr">
        <is>
          <t>Doloso</t>
        </is>
      </c>
      <c r="I89" t="inlineStr">
        <is>
          <t>Sim</t>
        </is>
      </c>
      <c r="J89" t="inlineStr">
        <is>
          <t>Pública Incondicionada</t>
        </is>
      </c>
      <c r="K89" t="inlineStr">
        <is>
          <t>Apresentação de relação ou habilitação de créditos falsa em falência ou recuperação</t>
        </is>
      </c>
      <c r="L89" t="inlineStr">
        <is>
          <t>Sim</t>
        </is>
      </c>
      <c r="M89" t="inlineStr">
        <is>
          <t>h5</t>
        </is>
      </c>
      <c r="N89" t="inlineStr"/>
    </row>
    <row r="90">
      <c r="A90" t="n">
        <v>547</v>
      </c>
      <c r="B90" t="n">
        <v>2</v>
      </c>
      <c r="C90" t="n">
        <v>24</v>
      </c>
      <c r="D90" t="inlineStr">
        <is>
          <t>Detenção</t>
        </is>
      </c>
      <c r="E90" t="inlineStr">
        <is>
          <t>Não</t>
        </is>
      </c>
      <c r="F90" t="inlineStr">
        <is>
          <t>Não</t>
        </is>
      </c>
      <c r="G90" t="inlineStr">
        <is>
          <t>Não</t>
        </is>
      </c>
      <c r="H90" t="inlineStr">
        <is>
          <t>Doloso</t>
        </is>
      </c>
      <c r="I90" t="inlineStr">
        <is>
          <t>Sim</t>
        </is>
      </c>
      <c r="J90" t="inlineStr">
        <is>
          <t>Pública Incondicionada</t>
        </is>
      </c>
      <c r="K90" t="inlineStr">
        <is>
          <t>Impedimento ou tentativa de impedimento de funcionamento de CPI</t>
        </is>
      </c>
      <c r="L90" t="inlineStr">
        <is>
          <t>Sim</t>
        </is>
      </c>
      <c r="M90" t="inlineStr">
        <is>
          <t>h6</t>
        </is>
      </c>
      <c r="N90" t="inlineStr">
        <is>
          <t>sim</t>
        </is>
      </c>
    </row>
    <row r="91">
      <c r="A91" t="n">
        <v>1320</v>
      </c>
      <c r="B91" t="n">
        <v>48</v>
      </c>
      <c r="C91" t="n">
        <v>96</v>
      </c>
      <c r="D91" t="inlineStr">
        <is>
          <t>Reclusão</t>
        </is>
      </c>
      <c r="E91" t="inlineStr">
        <is>
          <t>Sim</t>
        </is>
      </c>
      <c r="F91" t="inlineStr">
        <is>
          <t>Não</t>
        </is>
      </c>
      <c r="G91" t="inlineStr">
        <is>
          <t>Não</t>
        </is>
      </c>
      <c r="H91" t="inlineStr">
        <is>
          <t>Doloso</t>
        </is>
      </c>
      <c r="I91" t="inlineStr">
        <is>
          <t>Sim</t>
        </is>
      </c>
      <c r="J91" t="inlineStr">
        <is>
          <t>Pública Incondicionada</t>
        </is>
      </c>
      <c r="K91" t="inlineStr">
        <is>
          <t>Agenciamento, recrutamento ou intermediação da participação de criança ou adolescente em cena de sexo explícito</t>
        </is>
      </c>
      <c r="L91" t="inlineStr">
        <is>
          <t>Sim</t>
        </is>
      </c>
      <c r="M91" t="inlineStr">
        <is>
          <t>h6</t>
        </is>
      </c>
      <c r="N91" t="inlineStr">
        <is>
          <t>sim</t>
        </is>
      </c>
    </row>
    <row r="92">
      <c r="A92" t="n">
        <v>919</v>
      </c>
      <c r="B92" t="n">
        <v>12</v>
      </c>
      <c r="C92" t="n">
        <v>60</v>
      </c>
      <c r="D92" t="inlineStr">
        <is>
          <t>Reclusão</t>
        </is>
      </c>
      <c r="E92" t="inlineStr">
        <is>
          <t>Não</t>
        </is>
      </c>
      <c r="F92" t="inlineStr">
        <is>
          <t>Não</t>
        </is>
      </c>
      <c r="G92" t="inlineStr">
        <is>
          <t>Não</t>
        </is>
      </c>
      <c r="H92" t="inlineStr">
        <is>
          <t>Doloso</t>
        </is>
      </c>
      <c r="I92" t="inlineStr">
        <is>
          <t>Não</t>
        </is>
      </c>
      <c r="J92" t="inlineStr">
        <is>
          <t>Pública Incondicionada</t>
        </is>
      </c>
      <c r="K92" t="inlineStr">
        <is>
          <t>Falsificação, emenda ou adulteração de bilhete de loteria</t>
        </is>
      </c>
      <c r="L92" t="inlineStr">
        <is>
          <t>Sim</t>
        </is>
      </c>
      <c r="M92" t="inlineStr">
        <is>
          <t>h6</t>
        </is>
      </c>
      <c r="N92" t="inlineStr"/>
    </row>
    <row r="93">
      <c r="A93" t="n">
        <v>394</v>
      </c>
      <c r="B93" t="n">
        <v>12</v>
      </c>
      <c r="C93" t="n">
        <v>80</v>
      </c>
      <c r="D93" t="inlineStr">
        <is>
          <t>Reclusão</t>
        </is>
      </c>
      <c r="E93" t="inlineStr">
        <is>
          <t>Não</t>
        </is>
      </c>
      <c r="F93" t="inlineStr">
        <is>
          <t>Não</t>
        </is>
      </c>
      <c r="G93" t="inlineStr">
        <is>
          <t>Não</t>
        </is>
      </c>
      <c r="H93" t="inlineStr">
        <is>
          <t>Doloso</t>
        </is>
      </c>
      <c r="I93" t="inlineStr">
        <is>
          <t>Sim</t>
        </is>
      </c>
      <c r="J93" t="inlineStr">
        <is>
          <t>Pública Incondicionada</t>
        </is>
      </c>
      <c r="K93" t="inlineStr">
        <is>
          <t>Lavagem de dinheiro com diminuição de 1/3 a 2/3 (colaboração espontânea)</t>
        </is>
      </c>
      <c r="L93" t="inlineStr">
        <is>
          <t>Sim</t>
        </is>
      </c>
      <c r="M93" t="inlineStr">
        <is>
          <t>h6</t>
        </is>
      </c>
      <c r="N93" t="inlineStr"/>
    </row>
    <row r="94">
      <c r="A94" t="n">
        <v>952</v>
      </c>
      <c r="B94" t="n">
        <v>0</v>
      </c>
      <c r="C94" t="n">
        <v>0</v>
      </c>
      <c r="D94" t="inlineStr">
        <is>
          <t>—</t>
        </is>
      </c>
      <c r="E94" t="inlineStr">
        <is>
          <t>Não</t>
        </is>
      </c>
      <c r="F94" t="inlineStr">
        <is>
          <t>Não</t>
        </is>
      </c>
      <c r="G94" t="inlineStr">
        <is>
          <t>Não</t>
        </is>
      </c>
      <c r="H94" t="inlineStr">
        <is>
          <t>Doloso</t>
        </is>
      </c>
      <c r="I94" t="inlineStr">
        <is>
          <t>Não</t>
        </is>
      </c>
      <c r="J94" t="inlineStr">
        <is>
          <t>Pública Incondicionada</t>
        </is>
      </c>
      <c r="K94" t="inlineStr">
        <is>
          <t>Obtenção de documento falso para fins eleitorais</t>
        </is>
      </c>
      <c r="L94" t="inlineStr">
        <is>
          <t>Sim</t>
        </is>
      </c>
      <c r="M94" t="inlineStr">
        <is>
          <t>h6</t>
        </is>
      </c>
      <c r="N94" t="inlineStr"/>
    </row>
    <row r="95">
      <c r="A95" t="n">
        <v>1473</v>
      </c>
      <c r="B95" t="n">
        <v>24</v>
      </c>
      <c r="C95" t="n">
        <v>96</v>
      </c>
      <c r="D95" t="inlineStr">
        <is>
          <t>Reclusão</t>
        </is>
      </c>
      <c r="E95" t="inlineStr">
        <is>
          <t>Sim</t>
        </is>
      </c>
      <c r="F95" t="inlineStr">
        <is>
          <t>Não</t>
        </is>
      </c>
      <c r="G95" t="inlineStr">
        <is>
          <t>Não</t>
        </is>
      </c>
      <c r="H95" t="inlineStr">
        <is>
          <t>Doloso</t>
        </is>
      </c>
      <c r="I95" t="inlineStr">
        <is>
          <t>Sim</t>
        </is>
      </c>
      <c r="J95" t="inlineStr">
        <is>
          <t>Pública Incondicionada</t>
        </is>
      </c>
      <c r="K95" t="inlineStr">
        <is>
          <t>Incitação ao genocídio com crime consumado — lesão grave a membros do grupo</t>
        </is>
      </c>
      <c r="L95" t="inlineStr">
        <is>
          <t>Sim</t>
        </is>
      </c>
      <c r="M95" t="inlineStr">
        <is>
          <t>h6</t>
        </is>
      </c>
      <c r="N95" t="inlineStr"/>
    </row>
    <row r="96">
      <c r="A96" t="n">
        <v>1469</v>
      </c>
      <c r="B96" t="n">
        <v>60</v>
      </c>
      <c r="C96" t="n">
        <v>90</v>
      </c>
      <c r="D96" t="inlineStr">
        <is>
          <t>Reclusão</t>
        </is>
      </c>
      <c r="E96" t="inlineStr">
        <is>
          <t>Sim</t>
        </is>
      </c>
      <c r="F96" t="inlineStr">
        <is>
          <t>Não</t>
        </is>
      </c>
      <c r="G96" t="inlineStr">
        <is>
          <t>Não</t>
        </is>
      </c>
      <c r="H96" t="inlineStr">
        <is>
          <t>Doloso</t>
        </is>
      </c>
      <c r="I96" t="inlineStr">
        <is>
          <t>Sim</t>
        </is>
      </c>
      <c r="J96" t="inlineStr">
        <is>
          <t>Pública Incondicionada</t>
        </is>
      </c>
      <c r="K96" t="inlineStr">
        <is>
          <t>Incitação ao genocídio — condições de existência destrutivas</t>
        </is>
      </c>
      <c r="L96" t="inlineStr">
        <is>
          <t>Sim</t>
        </is>
      </c>
      <c r="M96" t="inlineStr">
        <is>
          <t>h6</t>
        </is>
      </c>
      <c r="N96" t="inlineStr"/>
    </row>
    <row r="97">
      <c r="A97" t="n">
        <v>829</v>
      </c>
      <c r="B97" t="n">
        <v>0</v>
      </c>
      <c r="C97" t="n">
        <v>0</v>
      </c>
      <c r="D97" t="inlineStr">
        <is>
          <t>Multa</t>
        </is>
      </c>
      <c r="E97" t="inlineStr">
        <is>
          <t>Não</t>
        </is>
      </c>
      <c r="F97" t="inlineStr">
        <is>
          <t>Não</t>
        </is>
      </c>
      <c r="G97" t="inlineStr">
        <is>
          <t>Não</t>
        </is>
      </c>
      <c r="H97" t="inlineStr">
        <is>
          <t>Doloso</t>
        </is>
      </c>
      <c r="I97" t="inlineStr">
        <is>
          <t>Não</t>
        </is>
      </c>
      <c r="J97" t="inlineStr">
        <is>
          <t>Pública Incondicionada</t>
        </is>
      </c>
      <c r="K97" t="inlineStr">
        <is>
          <t>Perigo de desabamento</t>
        </is>
      </c>
      <c r="L97" t="inlineStr">
        <is>
          <t>Sim</t>
        </is>
      </c>
      <c r="M97" t="inlineStr">
        <is>
          <t>h6</t>
        </is>
      </c>
      <c r="N97" t="inlineStr"/>
    </row>
    <row r="98">
      <c r="A98" t="n">
        <v>1326</v>
      </c>
      <c r="B98" t="n">
        <v>12</v>
      </c>
      <c r="C98" t="n">
        <v>36</v>
      </c>
      <c r="D98" t="inlineStr">
        <is>
          <t>Reclusão</t>
        </is>
      </c>
      <c r="E98" t="inlineStr">
        <is>
          <t>Não</t>
        </is>
      </c>
      <c r="F98" t="inlineStr">
        <is>
          <t>Sim</t>
        </is>
      </c>
      <c r="G98" t="inlineStr">
        <is>
          <t>Não</t>
        </is>
      </c>
      <c r="H98" t="inlineStr">
        <is>
          <t>Doloso</t>
        </is>
      </c>
      <c r="I98" t="inlineStr">
        <is>
          <t>Sim</t>
        </is>
      </c>
      <c r="J98" t="inlineStr">
        <is>
          <t>Pública Incondicionada</t>
        </is>
      </c>
      <c r="K98" t="inlineStr">
        <is>
          <t>Obstrução ou violência contra manifestações ou práticas religiosas</t>
        </is>
      </c>
      <c r="L98" t="inlineStr">
        <is>
          <t>Sim</t>
        </is>
      </c>
      <c r="M98" t="inlineStr">
        <is>
          <t>h6</t>
        </is>
      </c>
      <c r="N98" t="inlineStr"/>
    </row>
    <row r="99">
      <c r="A99" t="n">
        <v>904</v>
      </c>
      <c r="B99" t="n">
        <v>3</v>
      </c>
      <c r="C99" t="n">
        <v>36</v>
      </c>
      <c r="D99" t="inlineStr">
        <is>
          <t>Detenção</t>
        </is>
      </c>
      <c r="E99" t="inlineStr">
        <is>
          <t>Não</t>
        </is>
      </c>
      <c r="F99" t="inlineStr">
        <is>
          <t>Não</t>
        </is>
      </c>
      <c r="G99" t="inlineStr">
        <is>
          <t>Não</t>
        </is>
      </c>
      <c r="H99" t="inlineStr">
        <is>
          <t>Doloso</t>
        </is>
      </c>
      <c r="I99" t="inlineStr">
        <is>
          <t>Sim</t>
        </is>
      </c>
      <c r="J99" t="inlineStr">
        <is>
          <t>Pública Incondicionada</t>
        </is>
      </c>
      <c r="K99" t="inlineStr">
        <is>
          <t>Crime de responsabilidade de prefeito — demais condutas (itens III a XXIII): desvio de verba, contratação irregular, negativa de execução de lei, entre outras</t>
        </is>
      </c>
      <c r="L99" t="inlineStr">
        <is>
          <t>Sim</t>
        </is>
      </c>
      <c r="M99" t="inlineStr">
        <is>
          <t>h6</t>
        </is>
      </c>
      <c r="N99" t="inlineStr"/>
    </row>
    <row r="100">
      <c r="A100" t="n">
        <v>1321</v>
      </c>
      <c r="B100" t="n">
        <v>48</v>
      </c>
      <c r="C100" t="n">
        <v>96</v>
      </c>
      <c r="D100" t="inlineStr">
        <is>
          <t>Reclusão</t>
        </is>
      </c>
      <c r="E100" t="inlineStr">
        <is>
          <t>Sim</t>
        </is>
      </c>
      <c r="F100" t="inlineStr">
        <is>
          <t>Não</t>
        </is>
      </c>
      <c r="G100" t="inlineStr">
        <is>
          <t>Não</t>
        </is>
      </c>
      <c r="H100" t="inlineStr">
        <is>
          <t>Doloso</t>
        </is>
      </c>
      <c r="I100" t="inlineStr">
        <is>
          <t>Sim</t>
        </is>
      </c>
      <c r="J100" t="inlineStr">
        <is>
          <t>Pública Incondicionada</t>
        </is>
      </c>
      <c r="K100" t="inlineStr">
        <is>
          <t>Exibição ou transmissão em tempo real, pela internet ou meio digital, de cena de sexo explícito com criança ou adolescente</t>
        </is>
      </c>
      <c r="L100" t="inlineStr">
        <is>
          <t>Sim</t>
        </is>
      </c>
      <c r="M100" t="inlineStr">
        <is>
          <t>h6</t>
        </is>
      </c>
      <c r="N100" t="inlineStr"/>
    </row>
    <row r="101">
      <c r="A101" t="n">
        <v>1530</v>
      </c>
      <c r="B101" t="n">
        <v>0</v>
      </c>
      <c r="C101" t="n">
        <v>6</v>
      </c>
      <c r="D101" t="inlineStr">
        <is>
          <t>Detenção</t>
        </is>
      </c>
      <c r="E101" t="inlineStr">
        <is>
          <t>Não</t>
        </is>
      </c>
      <c r="F101" t="inlineStr">
        <is>
          <t>Não</t>
        </is>
      </c>
      <c r="G101" t="inlineStr">
        <is>
          <t>Não</t>
        </is>
      </c>
      <c r="H101" t="inlineStr">
        <is>
          <t>Doloso</t>
        </is>
      </c>
      <c r="I101" t="inlineStr">
        <is>
          <t>Sim</t>
        </is>
      </c>
      <c r="J101" t="inlineStr">
        <is>
          <t>Pública Incondicionada</t>
        </is>
      </c>
      <c r="K101" t="inlineStr">
        <is>
          <t>Sonegação ou destruição de correspondência</t>
        </is>
      </c>
      <c r="L101" t="inlineStr">
        <is>
          <t>Sim</t>
        </is>
      </c>
      <c r="M101" t="inlineStr">
        <is>
          <t>h6</t>
        </is>
      </c>
      <c r="N101" t="inlineStr"/>
    </row>
  </sheetData>
  <sheetProtection selectLockedCells="0" selectUnlockedCells="0" sheet="1" objects="0" insertRows="1" insertHyperlinks="1" autoFilter="1" scenarios="0" formatColumns="1" deleteColumns="1" insertColumns="1" pivotTables="1" deleteRows="1" formatCells="1" formatRows="1" sort="1" password="CDA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2026-09-28T19:16:04Z</dcterms:created>
  <dcterms:modified xsi:type="dcterms:W3CDTF">2026-09-28T19:16:04Z</dcterms:modified>
</cp:coreProperties>
</file>